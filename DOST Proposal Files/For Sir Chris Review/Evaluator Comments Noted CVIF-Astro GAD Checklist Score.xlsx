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G:\My Drive\CVIF Astrophysics\DOST Proposal Files\For Sir Chris Review\"/>
    </mc:Choice>
  </mc:AlternateContent>
  <xr:revisionPtr revIDLastSave="0" documentId="13_ncr:1_{222FCBEF-BF5A-4D2D-8636-CA07A0A00526}" xr6:coauthVersionLast="47" xr6:coauthVersionMax="47" xr10:uidLastSave="{00000000-0000-0000-0000-000000000000}"/>
  <bookViews>
    <workbookView xWindow="12710" yWindow="0" windowWidth="12980" windowHeight="15370"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S/0/giDw5/kM7ePDL0sehVy6wNDYfR6ADR6XUoKEaxQ="/>
    </ext>
  </extLst>
</workbook>
</file>

<file path=xl/calcChain.xml><?xml version="1.0" encoding="utf-8"?>
<calcChain xmlns="http://schemas.openxmlformats.org/spreadsheetml/2006/main">
  <c r="I76" i="1" l="1"/>
  <c r="I73" i="1"/>
  <c r="I66" i="1"/>
  <c r="I58" i="1"/>
  <c r="I53" i="1"/>
  <c r="I52" i="1" s="1"/>
  <c r="I48" i="1"/>
  <c r="I43" i="1"/>
  <c r="I40" i="1"/>
  <c r="I37" i="1"/>
  <c r="I35" i="1"/>
  <c r="I33" i="1" s="1"/>
  <c r="I29" i="1"/>
  <c r="I25" i="1"/>
  <c r="I22" i="1"/>
  <c r="I19" i="1"/>
  <c r="I17" i="1" s="1"/>
  <c r="I15" i="1"/>
  <c r="I13" i="1"/>
  <c r="I10" i="1"/>
  <c r="I8" i="1" s="1"/>
  <c r="I64" i="1" l="1"/>
  <c r="I79" i="1"/>
</calcChain>
</file>

<file path=xl/sharedStrings.xml><?xml version="1.0" encoding="utf-8"?>
<sst xmlns="http://schemas.openxmlformats.org/spreadsheetml/2006/main" count="164" uniqueCount="121">
  <si>
    <t>GAD Checklists 2: For the Project Identification and Design Stages</t>
  </si>
  <si>
    <t>Note: Put 'X' mark on appropriate box</t>
  </si>
  <si>
    <t>Done?</t>
  </si>
  <si>
    <t xml:space="preserve">  Score for      </t>
  </si>
  <si>
    <t xml:space="preserve">Comments/  </t>
  </si>
  <si>
    <t>Element and items/question</t>
  </si>
  <si>
    <t>(col.2)</t>
  </si>
  <si>
    <t xml:space="preserve">  an item/  </t>
  </si>
  <si>
    <t>gender issues</t>
  </si>
  <si>
    <t xml:space="preserve"> (col.1)</t>
  </si>
  <si>
    <t xml:space="preserve">No </t>
  </si>
  <si>
    <t xml:space="preserve">    Partly</t>
  </si>
  <si>
    <t xml:space="preserve">   Yes</t>
  </si>
  <si>
    <t xml:space="preserve">   element  </t>
  </si>
  <si>
    <t>identified</t>
  </si>
  <si>
    <t xml:space="preserve">   (2a)</t>
  </si>
  <si>
    <t xml:space="preserve">   (2b)</t>
  </si>
  <si>
    <t xml:space="preserve">    (2c)</t>
  </si>
  <si>
    <t xml:space="preserve">     (col.3)</t>
  </si>
  <si>
    <t xml:space="preserve"> (col.4)</t>
  </si>
  <si>
    <t>1.0   Involvement of women and men (max score: 2; for</t>
  </si>
  <si>
    <t xml:space="preserve">         each item, 1)</t>
  </si>
  <si>
    <t xml:space="preserve">1.1  Participation of women and men in beneficiary </t>
  </si>
  <si>
    <t>x</t>
  </si>
  <si>
    <t xml:space="preserve">        groups in the identification of the problem </t>
  </si>
  <si>
    <t xml:space="preserve">        (possible scores: 0, 0.5, 1.0)</t>
  </si>
  <si>
    <t xml:space="preserve">1.2  Participation of women and men in beneficiary </t>
  </si>
  <si>
    <t xml:space="preserve">        groups in project design (possible scores: 0, 0.5, 1.0)</t>
  </si>
  <si>
    <t>2.0  Collection of sex-disaggregated data and gender-</t>
  </si>
  <si>
    <t>poll for male or female student
participants in trainings</t>
  </si>
  <si>
    <t xml:space="preserve">        related information (possible scores: 0, 1.0, 2.0)</t>
  </si>
  <si>
    <t xml:space="preserve">3.0  Conduct of gender analysis and identification of </t>
  </si>
  <si>
    <t xml:space="preserve">        gender issues (max score: 2; for each item, 1)</t>
  </si>
  <si>
    <t xml:space="preserve">3.1  Analysis of gender gaps and inequalities related to </t>
  </si>
  <si>
    <t>Lacking women available in the fields of physics
at CVIF in the faculty or pool of 
researchers was assessed.</t>
  </si>
  <si>
    <t xml:space="preserve">        gender roles, perspectives and needs, or access to </t>
  </si>
  <si>
    <t xml:space="preserve">        and control of resources (possible scores: 0, 0.5, 1.0)</t>
  </si>
  <si>
    <t>3.2  Analysis of constraints and opportunities related</t>
  </si>
  <si>
    <t xml:space="preserve">        to  women's and men's participation in the project  </t>
  </si>
  <si>
    <t xml:space="preserve">4.0   Gender equality goals, outcomes, and outputs </t>
  </si>
  <si>
    <t xml:space="preserve">Part of the goals, objectives, and outcomes and outputs
of this projet that state or promote gender equality is the 
encouraged participation of women in workshops and 
trainings. </t>
  </si>
  <si>
    <t xml:space="preserve">        (possible scores:0, 1.0, 2.0)</t>
  </si>
  <si>
    <t xml:space="preserve">        Does the project have clearly stated gender </t>
  </si>
  <si>
    <t xml:space="preserve">         equality goals, objectives, outcomes or outputs?</t>
  </si>
  <si>
    <t>5.0   Matching of strategies with gender issues</t>
  </si>
  <si>
    <t>Yes, since gender issues include gender equality and we
are promoting it since we especially highly encourage
women especially students to participate in trainings 
and workshops.</t>
  </si>
  <si>
    <t xml:space="preserve">        (possible scores: 0, 1.0, 2.0)  </t>
  </si>
  <si>
    <t xml:space="preserve">        Do the strategies and activities match the gender</t>
  </si>
  <si>
    <t xml:space="preserve">        issues and gender eqality goals identified?</t>
  </si>
  <si>
    <t>6.0   Gender analysis of the likely impacts of the</t>
  </si>
  <si>
    <t xml:space="preserve">         project (max score: 2, for each item, 0.67)</t>
  </si>
  <si>
    <t xml:space="preserve">6.1   Are women and girl chldren among the direct or </t>
  </si>
  <si>
    <t>direct are women students as beneficiaries</t>
  </si>
  <si>
    <t xml:space="preserve">         inderect beneficiaries? (possible scores: 0, 0.33, 0.67)</t>
  </si>
  <si>
    <t>6.2   Has the project considered its long-term</t>
  </si>
  <si>
    <t>Yes, because by equipping women the skills in data 
handling skills, we are empowering women students</t>
  </si>
  <si>
    <t xml:space="preserve">         impact on women's socioeconomic status and </t>
  </si>
  <si>
    <t xml:space="preserve">         Empowerment? (possible scores: 0, 0.33, 0.67)</t>
  </si>
  <si>
    <t>6.3   Has the project included strategies for avoiding or</t>
  </si>
  <si>
    <t xml:space="preserve">        minimizing negative impacts on women's status</t>
  </si>
  <si>
    <t xml:space="preserve">        and welfare? (possible scores: 0, 0.33, 0.66)</t>
  </si>
  <si>
    <t xml:space="preserve">7.0   Monitoring targets and indicators (possible </t>
  </si>
  <si>
    <t xml:space="preserve">         scores: 0, 1.0, 2.0) </t>
  </si>
  <si>
    <t xml:space="preserve">         Does the project include gender equality targets</t>
  </si>
  <si>
    <t xml:space="preserve">         and indicators to measure gender equality  </t>
  </si>
  <si>
    <t xml:space="preserve">         outputs and outcomes?</t>
  </si>
  <si>
    <t xml:space="preserve">8.0   Sex-disaggregated database requirements (possible </t>
  </si>
  <si>
    <t>Yes, participants in trainings and workshops are asked
if they are male or female</t>
  </si>
  <si>
    <t xml:space="preserve">         scores: 0, 1.0, 2.0)                                                   </t>
  </si>
  <si>
    <t xml:space="preserve">         Does the project M&amp;E system require the </t>
  </si>
  <si>
    <t xml:space="preserve">         collection of sex-disaggregated data?</t>
  </si>
  <si>
    <t>9.0   Resources (max score: 2; for each item, 1)</t>
  </si>
  <si>
    <t xml:space="preserve">9.1  Is the budget allotted by the project sufficient </t>
  </si>
  <si>
    <t xml:space="preserve">        for gender equality promotion or integration?  </t>
  </si>
  <si>
    <t xml:space="preserve">        OR, will the project tap counterpart funds from </t>
  </si>
  <si>
    <t xml:space="preserve">        LGUs/ partners for its GAD efforts? (possible </t>
  </si>
  <si>
    <t xml:space="preserve">        scores: 0, 0.5, 1.0)</t>
  </si>
  <si>
    <t>9.2  Does the project have the expertise to promote</t>
  </si>
  <si>
    <t xml:space="preserve">       gender equality and  women's empowerment?   </t>
  </si>
  <si>
    <t xml:space="preserve">       OR, is the project committed  to  investing project </t>
  </si>
  <si>
    <t xml:space="preserve">       staff time in building  capacities within the project  </t>
  </si>
  <si>
    <t xml:space="preserve">       to integrate GAD or promote gender equality? </t>
  </si>
  <si>
    <t xml:space="preserve">       (possible scores: 0, 0.5, 1.0)</t>
  </si>
  <si>
    <t xml:space="preserve">10.0 Relationship with the agency's GAD efforts </t>
  </si>
  <si>
    <t xml:space="preserve">       (max score: 2; for each item, 0.67)</t>
  </si>
  <si>
    <t xml:space="preserve">10.1  Will the project build on or strengthen the </t>
  </si>
  <si>
    <t xml:space="preserve">          agency/ PCW/ government's commitment </t>
  </si>
  <si>
    <t xml:space="preserve">          to the empowerment of women?  </t>
  </si>
  <si>
    <t xml:space="preserve">          (possible scores: 0, 0.33, 0.67)  </t>
  </si>
  <si>
    <t xml:space="preserve">          IF THE AGENCY HAS NO GAD PLAN: Will </t>
  </si>
  <si>
    <t xml:space="preserve">          the project help in formulating the implementing </t>
  </si>
  <si>
    <t xml:space="preserve">          agency's GAD plan?</t>
  </si>
  <si>
    <t>10.2 Will the project build on the initiatives or actions</t>
  </si>
  <si>
    <t xml:space="preserve">         of other organization in the area? (possible </t>
  </si>
  <si>
    <t xml:space="preserve">          scores: 0, 0.33, 0.67)</t>
  </si>
  <si>
    <t>10.3 Does the project have an exit plan that will ensure</t>
  </si>
  <si>
    <t>Exit plan involves the continuous support and giving of LAS
that is of project-related topics regardless of men or women</t>
  </si>
  <si>
    <t xml:space="preserve">         the sustainability of GAD efforts and benefits?</t>
  </si>
  <si>
    <t xml:space="preserve">         (possible scores: 0, 0.33, 0.67)</t>
  </si>
  <si>
    <t xml:space="preserve">TOTAL GAD SCORE FOR THE PROJECT IDENTIFICATION </t>
  </si>
  <si>
    <t>AND DESIGN STAGES</t>
  </si>
  <si>
    <t xml:space="preserve"> </t>
  </si>
  <si>
    <t xml:space="preserve">                              Interpretation of the GAD score</t>
  </si>
  <si>
    <t>0 - 3.9  GAD is invisible in the project (proposal is retured).</t>
  </si>
  <si>
    <t xml:space="preserve">             4.0 - 7.9  Proposed project has promising GAD prospects (proposal earns </t>
  </si>
  <si>
    <t xml:space="preserve">             a "conditional pass," pending identification of gender issues and </t>
  </si>
  <si>
    <t xml:space="preserve">             strategies and activities to address these and inclusion of the collection of  </t>
  </si>
  <si>
    <t xml:space="preserve">             sex-disaggregated data in the monitoring and evaluation plan).</t>
  </si>
  <si>
    <t xml:space="preserve">           8.0 - 14.9   Proposed project is gender-sensitive (proposal passes the GAD test)</t>
  </si>
  <si>
    <t xml:space="preserve">         15.0 - 20.0   Proposed project is gender-responsive (proponent is commended).</t>
  </si>
  <si>
    <t xml:space="preserve">         scores: 0, 1.0, 2.0)                                                                                                   </t>
  </si>
  <si>
    <t>Adapt local gender empowerment initiatives</t>
  </si>
  <si>
    <t>budget is enough for workshops and outreach that encourages femae participants</t>
  </si>
  <si>
    <t>include LAS about women in space science</t>
  </si>
  <si>
    <t>Doc Reina Reyes as consultant;
Integrated evaluator's comment in proposa, under Method's Pre-Establishment section</t>
  </si>
  <si>
    <t>Comments integrated to beneficiaries section in the proposal</t>
  </si>
  <si>
    <t>There are few women in physics among CVIF faculty and researchers. This project helps address this gap by offering learning and training opportunities for all participants. Both women and men students will gain skills and knowledge in physics through the project’s activities.</t>
  </si>
  <si>
    <t>Dr. Reyes (Director at PhilSA) as consultant; and we
integrated evaluator's comment in proposal, under Method's Pre-Establishment section</t>
  </si>
  <si>
    <t>Evaluator's comments integrated to state the intent to promote women participation in the workshops and trainings in this project.</t>
  </si>
  <si>
    <t>Evaluator's comment integrated in the Workplan document that ensures encouragement and participation for both men and women.</t>
  </si>
  <si>
    <t>Budgets usually not enough for workshops and outreach that encourages women participation. This project responds to this gap by the freel use of LAS for education for both men and women, as well as encouragement in women participation to upskill in trainings in this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</si>
</sst>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scheme val="minor"/>
    </font>
    <font>
      <b/>
      <sz val="12"/>
      <color theme="1"/>
      <name val="Arial"/>
    </font>
    <font>
      <sz val="10"/>
      <color theme="1"/>
      <name val="Arial"/>
      <scheme val="minor"/>
    </font>
    <font>
      <sz val="10"/>
      <color theme="1"/>
      <name val="Arial"/>
    </font>
    <font>
      <sz val="10"/>
      <name val="Arial"/>
    </font>
    <font>
      <sz val="11"/>
      <color rgb="FF000000"/>
      <name val="Arial"/>
    </font>
    <font>
      <b/>
      <sz val="10"/>
      <color theme="1"/>
      <name val="Arial"/>
    </font>
    <font>
      <sz val="10"/>
      <color theme="0"/>
      <name val="Arial"/>
    </font>
    <font>
      <sz val="12"/>
      <color theme="1"/>
      <name val="Arial"/>
    </font>
    <font>
      <sz val="10"/>
      <color theme="1"/>
      <name val="Arial"/>
      <family val="2"/>
    </font>
    <font>
      <sz val="6"/>
      <color theme="1"/>
      <name val="Arial"/>
      <family val="2"/>
    </font>
    <font>
      <sz val="5.5"/>
      <color theme="1"/>
      <name val="Arial"/>
      <family val="2"/>
    </font>
    <font>
      <sz val="10"/>
      <color theme="1"/>
      <name val="Arial"/>
      <family val="2"/>
      <scheme val="minor"/>
    </font>
  </fonts>
  <fills count="3">
    <fill>
      <patternFill patternType="none"/>
    </fill>
    <fill>
      <patternFill patternType="gray125"/>
    </fill>
    <fill>
      <patternFill patternType="solid">
        <fgColor rgb="FFE7E6E6"/>
        <bgColor rgb="FFE7E6E6"/>
      </patternFill>
    </fill>
  </fills>
  <borders count="22">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bottom/>
      <diagonal/>
    </border>
    <border>
      <left style="medium">
        <color rgb="FF000000"/>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medium">
        <color rgb="FF000000"/>
      </left>
      <right style="thin">
        <color rgb="FF000000"/>
      </right>
      <top/>
      <bottom/>
      <diagonal/>
    </border>
  </borders>
  <cellStyleXfs count="1">
    <xf numFmtId="0" fontId="0" fillId="0" borderId="0"/>
  </cellStyleXfs>
  <cellXfs count="71">
    <xf numFmtId="0" fontId="0" fillId="0" borderId="0" xfId="0"/>
    <xf numFmtId="0" fontId="1" fillId="0" borderId="0" xfId="0" applyFont="1" applyAlignment="1">
      <alignment horizontal="center" vertical="center"/>
    </xf>
    <xf numFmtId="0" fontId="2" fillId="0" borderId="0" xfId="0" applyFont="1" applyAlignment="1">
      <alignment vertical="center"/>
    </xf>
    <xf numFmtId="0" fontId="1" fillId="0" borderId="0" xfId="0" applyFont="1"/>
    <xf numFmtId="0" fontId="3" fillId="0" borderId="1" xfId="0" applyFont="1" applyBorder="1"/>
    <xf numFmtId="0" fontId="3" fillId="0" borderId="2" xfId="0" applyFont="1" applyBorder="1"/>
    <xf numFmtId="0" fontId="3" fillId="0" borderId="3" xfId="0" applyFont="1" applyBorder="1"/>
    <xf numFmtId="0" fontId="3" fillId="0" borderId="4" xfId="0" applyFont="1" applyBorder="1"/>
    <xf numFmtId="0" fontId="3" fillId="0" borderId="5" xfId="0" applyFont="1" applyBorder="1"/>
    <xf numFmtId="0" fontId="2" fillId="0" borderId="0" xfId="0" applyFont="1"/>
    <xf numFmtId="0" fontId="3" fillId="0" borderId="6" xfId="0" applyFont="1" applyBorder="1"/>
    <xf numFmtId="0" fontId="3" fillId="0" borderId="10" xfId="0" applyFont="1" applyBorder="1"/>
    <xf numFmtId="0" fontId="5" fillId="0" borderId="4" xfId="0" applyFont="1" applyBorder="1" applyAlignment="1">
      <alignment horizontal="center" vertical="center" wrapText="1"/>
    </xf>
    <xf numFmtId="0" fontId="7" fillId="0" borderId="10" xfId="0" applyFont="1" applyBorder="1"/>
    <xf numFmtId="0" fontId="7" fillId="0" borderId="5" xfId="0" applyFont="1" applyBorder="1"/>
    <xf numFmtId="0" fontId="3" fillId="0" borderId="7" xfId="0" applyFont="1" applyBorder="1"/>
    <xf numFmtId="0" fontId="3" fillId="0" borderId="8" xfId="0" applyFont="1" applyBorder="1"/>
    <xf numFmtId="0" fontId="3" fillId="0" borderId="13" xfId="0" applyFont="1" applyBorder="1"/>
    <xf numFmtId="0" fontId="6" fillId="0" borderId="18" xfId="0" applyFont="1" applyBorder="1" applyAlignment="1">
      <alignment horizontal="center" vertical="center"/>
    </xf>
    <xf numFmtId="0" fontId="8" fillId="0" borderId="1" xfId="0" applyFont="1" applyBorder="1"/>
    <xf numFmtId="0" fontId="8" fillId="0" borderId="2" xfId="0" applyFont="1" applyBorder="1"/>
    <xf numFmtId="0" fontId="1" fillId="0" borderId="2" xfId="0" applyFont="1" applyBorder="1"/>
    <xf numFmtId="0" fontId="8" fillId="0" borderId="5" xfId="0" applyFont="1" applyBorder="1"/>
    <xf numFmtId="0" fontId="8" fillId="0" borderId="0" xfId="0" applyFont="1"/>
    <xf numFmtId="0" fontId="8" fillId="0" borderId="7" xfId="0" applyFont="1" applyBorder="1"/>
    <xf numFmtId="0" fontId="8" fillId="0" borderId="8" xfId="0" applyFont="1" applyBorder="1"/>
    <xf numFmtId="0" fontId="2" fillId="0" borderId="0" xfId="0" applyFont="1" applyAlignment="1">
      <alignment vertical="center"/>
    </xf>
    <xf numFmtId="0" fontId="0" fillId="0" borderId="0" xfId="0"/>
    <xf numFmtId="0" fontId="2" fillId="0" borderId="0" xfId="0" applyFont="1" applyAlignment="1">
      <alignment horizontal="left" vertical="center"/>
    </xf>
    <xf numFmtId="0" fontId="2" fillId="0" borderId="0" xfId="0" applyFont="1" applyAlignment="1">
      <alignment vertical="center" wrapText="1"/>
    </xf>
    <xf numFmtId="0" fontId="3" fillId="2" borderId="4" xfId="0" applyFont="1" applyFill="1" applyBorder="1" applyAlignment="1">
      <alignment horizontal="center" vertical="center"/>
    </xf>
    <xf numFmtId="0" fontId="4" fillId="0" borderId="10" xfId="0" applyFont="1" applyBorder="1"/>
    <xf numFmtId="0" fontId="4" fillId="0" borderId="13" xfId="0" applyFont="1" applyBorder="1"/>
    <xf numFmtId="0" fontId="3" fillId="0" borderId="10" xfId="0" applyFont="1" applyBorder="1" applyAlignment="1">
      <alignment horizontal="center" vertical="center"/>
    </xf>
    <xf numFmtId="0" fontId="3" fillId="0" borderId="4" xfId="0" applyFont="1" applyBorder="1" applyAlignment="1">
      <alignment horizontal="center" vertical="center"/>
    </xf>
    <xf numFmtId="0" fontId="3" fillId="2" borderId="14" xfId="0" applyFont="1" applyFill="1" applyBorder="1" applyAlignment="1">
      <alignment horizontal="center" vertical="center"/>
    </xf>
    <xf numFmtId="0" fontId="4" fillId="0" borderId="16" xfId="0" applyFont="1" applyBorder="1"/>
    <xf numFmtId="0" fontId="4" fillId="0" borderId="15" xfId="0" applyFont="1" applyBorder="1"/>
    <xf numFmtId="0" fontId="6" fillId="0" borderId="11" xfId="0" applyFont="1" applyBorder="1" applyAlignment="1">
      <alignment horizontal="center" vertical="center"/>
    </xf>
    <xf numFmtId="0" fontId="4" fillId="0" borderId="17" xfId="0" applyFont="1" applyBorder="1"/>
    <xf numFmtId="0" fontId="4" fillId="0" borderId="12" xfId="0" applyFont="1" applyBorder="1"/>
    <xf numFmtId="0" fontId="1" fillId="0" borderId="0" xfId="0" applyFont="1" applyAlignment="1">
      <alignment horizontal="center" vertical="center"/>
    </xf>
    <xf numFmtId="0" fontId="3" fillId="0" borderId="1" xfId="0" applyFont="1" applyBorder="1" applyAlignment="1">
      <alignment horizontal="center" vertical="center"/>
    </xf>
    <xf numFmtId="0" fontId="4" fillId="0" borderId="2" xfId="0" applyFont="1" applyBorder="1"/>
    <xf numFmtId="0" fontId="4" fillId="0" borderId="3" xfId="0" applyFont="1" applyBorder="1"/>
    <xf numFmtId="0" fontId="3" fillId="0" borderId="7" xfId="0" applyFont="1" applyBorder="1" applyAlignment="1">
      <alignment horizontal="center"/>
    </xf>
    <xf numFmtId="0" fontId="4" fillId="0" borderId="8" xfId="0" applyFont="1" applyBorder="1"/>
    <xf numFmtId="0" fontId="4" fillId="0" borderId="9" xfId="0" applyFont="1" applyBorder="1"/>
    <xf numFmtId="0" fontId="4" fillId="0" borderId="7" xfId="0" applyFont="1" applyBorder="1"/>
    <xf numFmtId="0" fontId="6" fillId="0" borderId="11" xfId="0" applyFont="1" applyBorder="1" applyAlignment="1">
      <alignment horizontal="center"/>
    </xf>
    <xf numFmtId="0" fontId="1" fillId="0" borderId="4" xfId="0" applyFont="1" applyBorder="1" applyAlignment="1">
      <alignment horizontal="center"/>
    </xf>
    <xf numFmtId="0" fontId="1" fillId="0" borderId="0" xfId="0" applyFont="1" applyAlignment="1">
      <alignment horizontal="center" vertical="center" wrapText="1"/>
    </xf>
    <xf numFmtId="0" fontId="0" fillId="0" borderId="0" xfId="0" applyAlignment="1">
      <alignment wrapText="1"/>
    </xf>
    <xf numFmtId="0" fontId="3" fillId="0" borderId="3" xfId="0" applyFont="1" applyBorder="1" applyAlignment="1">
      <alignment wrapText="1"/>
    </xf>
    <xf numFmtId="0" fontId="3" fillId="0" borderId="6" xfId="0" applyFont="1" applyBorder="1" applyAlignment="1">
      <alignment wrapText="1"/>
    </xf>
    <xf numFmtId="0" fontId="3" fillId="0" borderId="9" xfId="0" applyFont="1" applyBorder="1" applyAlignment="1">
      <alignment wrapText="1"/>
    </xf>
    <xf numFmtId="0" fontId="3" fillId="0" borderId="4" xfId="0" applyFont="1" applyBorder="1" applyAlignment="1">
      <alignment wrapText="1"/>
    </xf>
    <xf numFmtId="0" fontId="11" fillId="0" borderId="19" xfId="0" applyFont="1" applyBorder="1" applyAlignment="1">
      <alignment horizontal="center" wrapText="1"/>
    </xf>
    <xf numFmtId="0" fontId="11" fillId="0" borderId="20" xfId="0" applyFont="1" applyBorder="1" applyAlignment="1">
      <alignment horizontal="center" wrapText="1"/>
    </xf>
    <xf numFmtId="0" fontId="10" fillId="0" borderId="3"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9"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19" xfId="0" applyFont="1" applyBorder="1" applyAlignment="1">
      <alignment horizontal="center" wrapText="1"/>
    </xf>
    <xf numFmtId="0" fontId="10" fillId="0" borderId="21" xfId="0" applyFont="1" applyBorder="1" applyAlignment="1">
      <alignment horizontal="center" wrapText="1"/>
    </xf>
    <xf numFmtId="0" fontId="10" fillId="0" borderId="20" xfId="0" applyFont="1" applyBorder="1" applyAlignment="1">
      <alignment horizontal="center" wrapText="1"/>
    </xf>
    <xf numFmtId="0" fontId="9" fillId="2" borderId="14" xfId="0" applyFont="1" applyFill="1" applyBorder="1" applyAlignment="1">
      <alignment horizontal="center" vertical="center"/>
    </xf>
    <xf numFmtId="0" fontId="9" fillId="2" borderId="4" xfId="0" applyFont="1" applyFill="1" applyBorder="1" applyAlignment="1">
      <alignment horizontal="center" vertical="center"/>
    </xf>
    <xf numFmtId="0" fontId="1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0"/>
  <sheetViews>
    <sheetView tabSelected="1" topLeftCell="A8" zoomScale="140" zoomScaleNormal="140" workbookViewId="0">
      <selection activeCell="J17" sqref="J17:J24"/>
    </sheetView>
  </sheetViews>
  <sheetFormatPr defaultColWidth="12.6328125" defaultRowHeight="15" customHeight="1" x14ac:dyDescent="0.25"/>
  <cols>
    <col min="1" max="4" width="8.6328125" customWidth="1"/>
    <col min="5" max="5" width="14.453125" customWidth="1"/>
    <col min="6" max="6" width="7.453125" customWidth="1"/>
    <col min="7" max="7" width="8.453125" customWidth="1"/>
    <col min="8" max="8" width="7.08984375" customWidth="1"/>
    <col min="9" max="9" width="9.90625" customWidth="1"/>
    <col min="10" max="10" width="13.08984375" style="52" customWidth="1"/>
    <col min="11" max="11" width="4.453125" customWidth="1"/>
    <col min="12" max="14" width="8.6328125" customWidth="1"/>
    <col min="15" max="15" width="48" customWidth="1"/>
    <col min="16" max="26" width="8.6328125" customWidth="1"/>
  </cols>
  <sheetData>
    <row r="1" spans="1:15" ht="12" customHeight="1" x14ac:dyDescent="0.25">
      <c r="A1" s="41" t="s">
        <v>0</v>
      </c>
      <c r="B1" s="27"/>
      <c r="C1" s="27"/>
      <c r="D1" s="27"/>
      <c r="E1" s="27"/>
      <c r="F1" s="27"/>
      <c r="G1" s="27"/>
      <c r="H1" s="27"/>
      <c r="I1" s="27"/>
      <c r="J1" s="27"/>
      <c r="L1" s="2"/>
      <c r="M1" s="2"/>
      <c r="N1" s="2"/>
      <c r="O1" s="2"/>
    </row>
    <row r="2" spans="1:15" ht="12" customHeight="1" x14ac:dyDescent="0.25">
      <c r="A2" s="1"/>
      <c r="B2" s="1"/>
      <c r="C2" s="1"/>
      <c r="D2" s="1"/>
      <c r="E2" s="1"/>
      <c r="F2" s="1"/>
      <c r="G2" s="1"/>
      <c r="H2" s="1"/>
      <c r="I2" s="1"/>
      <c r="J2" s="51"/>
      <c r="L2" s="2"/>
      <c r="M2" s="2"/>
      <c r="N2" s="2"/>
      <c r="O2" s="2"/>
    </row>
    <row r="3" spans="1:15" ht="12" customHeight="1" x14ac:dyDescent="0.35">
      <c r="A3" s="3" t="s">
        <v>1</v>
      </c>
      <c r="L3" s="2"/>
      <c r="M3" s="2"/>
      <c r="N3" s="2"/>
      <c r="O3" s="2"/>
    </row>
    <row r="4" spans="1:15" ht="12" customHeight="1" x14ac:dyDescent="0.25">
      <c r="A4" s="4"/>
      <c r="B4" s="5"/>
      <c r="C4" s="5"/>
      <c r="D4" s="5"/>
      <c r="E4" s="6"/>
      <c r="F4" s="42" t="s">
        <v>2</v>
      </c>
      <c r="G4" s="43"/>
      <c r="H4" s="44"/>
      <c r="I4" s="7" t="s">
        <v>3</v>
      </c>
      <c r="J4" s="53" t="s">
        <v>4</v>
      </c>
      <c r="L4" s="2"/>
      <c r="M4" s="2"/>
      <c r="N4" s="2"/>
      <c r="O4" s="2"/>
    </row>
    <row r="5" spans="1:15" ht="12" customHeight="1" x14ac:dyDescent="0.25">
      <c r="A5" s="8"/>
      <c r="C5" s="9" t="s">
        <v>5</v>
      </c>
      <c r="E5" s="10"/>
      <c r="F5" s="45" t="s">
        <v>6</v>
      </c>
      <c r="G5" s="46"/>
      <c r="H5" s="47"/>
      <c r="I5" s="11" t="s">
        <v>7</v>
      </c>
      <c r="J5" s="54" t="s">
        <v>8</v>
      </c>
      <c r="L5" s="2"/>
      <c r="M5" s="2"/>
      <c r="N5" s="2"/>
      <c r="O5" s="2"/>
    </row>
    <row r="6" spans="1:15" ht="12" customHeight="1" x14ac:dyDescent="0.25">
      <c r="A6" s="8"/>
      <c r="C6" s="9" t="s">
        <v>9</v>
      </c>
      <c r="F6" s="12" t="s">
        <v>10</v>
      </c>
      <c r="G6" s="7" t="s">
        <v>11</v>
      </c>
      <c r="H6" s="7" t="s">
        <v>12</v>
      </c>
      <c r="I6" s="11" t="s">
        <v>13</v>
      </c>
      <c r="J6" s="54" t="s">
        <v>14</v>
      </c>
      <c r="L6" s="2"/>
      <c r="M6" s="2"/>
      <c r="N6" s="2"/>
      <c r="O6" s="2"/>
    </row>
    <row r="7" spans="1:15" ht="12" customHeight="1" x14ac:dyDescent="0.25">
      <c r="A7" s="8"/>
      <c r="F7" s="11" t="s">
        <v>15</v>
      </c>
      <c r="G7" s="11" t="s">
        <v>16</v>
      </c>
      <c r="H7" s="11" t="s">
        <v>17</v>
      </c>
      <c r="I7" s="11" t="s">
        <v>18</v>
      </c>
      <c r="J7" s="54" t="s">
        <v>19</v>
      </c>
      <c r="L7" s="2"/>
      <c r="M7" s="2"/>
      <c r="N7" s="2"/>
      <c r="O7" s="2"/>
    </row>
    <row r="8" spans="1:15" ht="12" customHeight="1" x14ac:dyDescent="0.25">
      <c r="A8" s="4" t="s">
        <v>20</v>
      </c>
      <c r="B8" s="5"/>
      <c r="C8" s="5"/>
      <c r="D8" s="5"/>
      <c r="E8" s="5"/>
      <c r="F8" s="7"/>
      <c r="G8" s="7"/>
      <c r="H8" s="4"/>
      <c r="I8" s="38">
        <f>SUM(I10:I14)</f>
        <v>2</v>
      </c>
      <c r="J8" s="59" t="s">
        <v>117</v>
      </c>
      <c r="L8" s="2"/>
      <c r="M8" s="2"/>
      <c r="N8" s="2"/>
      <c r="O8" s="2"/>
    </row>
    <row r="9" spans="1:15" ht="12" customHeight="1" x14ac:dyDescent="0.25">
      <c r="A9" s="8" t="s">
        <v>21</v>
      </c>
      <c r="F9" s="13">
        <v>0</v>
      </c>
      <c r="G9" s="13">
        <v>0.5</v>
      </c>
      <c r="H9" s="14">
        <v>1</v>
      </c>
      <c r="I9" s="40"/>
      <c r="J9" s="63"/>
      <c r="L9" s="2"/>
      <c r="M9" s="2"/>
      <c r="N9" s="2"/>
      <c r="O9" s="2"/>
    </row>
    <row r="10" spans="1:15" ht="12" customHeight="1" x14ac:dyDescent="0.25">
      <c r="A10" s="4" t="s">
        <v>22</v>
      </c>
      <c r="B10" s="5"/>
      <c r="C10" s="5"/>
      <c r="D10" s="5"/>
      <c r="E10" s="5"/>
      <c r="F10" s="30"/>
      <c r="G10" s="30"/>
      <c r="H10" s="30" t="s">
        <v>23</v>
      </c>
      <c r="I10" s="33">
        <f>IF(F10="X",$F$9,IF(G10="X",$G$9,IF(H10="X",$H$9,"")))</f>
        <v>1</v>
      </c>
      <c r="J10" s="63"/>
      <c r="L10" s="29" t="s">
        <v>114</v>
      </c>
      <c r="M10" s="27"/>
      <c r="N10" s="27"/>
      <c r="O10" s="2"/>
    </row>
    <row r="11" spans="1:15" ht="12" customHeight="1" x14ac:dyDescent="0.25">
      <c r="A11" s="8" t="s">
        <v>24</v>
      </c>
      <c r="F11" s="31"/>
      <c r="G11" s="31"/>
      <c r="H11" s="31"/>
      <c r="I11" s="31"/>
      <c r="J11" s="63"/>
      <c r="L11" s="27"/>
      <c r="M11" s="27"/>
      <c r="N11" s="27"/>
      <c r="O11" s="2"/>
    </row>
    <row r="12" spans="1:15" ht="12" customHeight="1" x14ac:dyDescent="0.25">
      <c r="A12" s="8" t="s">
        <v>25</v>
      </c>
      <c r="F12" s="32"/>
      <c r="G12" s="32"/>
      <c r="H12" s="32"/>
      <c r="I12" s="32"/>
      <c r="J12" s="63"/>
      <c r="L12" s="27"/>
      <c r="M12" s="27"/>
      <c r="N12" s="27"/>
      <c r="O12" s="2"/>
    </row>
    <row r="13" spans="1:15" ht="12" customHeight="1" x14ac:dyDescent="0.25">
      <c r="A13" s="4" t="s">
        <v>26</v>
      </c>
      <c r="B13" s="5"/>
      <c r="C13" s="5"/>
      <c r="D13" s="5"/>
      <c r="E13" s="5"/>
      <c r="F13" s="30"/>
      <c r="G13" s="30"/>
      <c r="H13" s="30" t="s">
        <v>23</v>
      </c>
      <c r="I13" s="34">
        <f>IF(F13="X",$F$9,IF(G13="X",$G$9,IF(H13="X",$H$9,"")))</f>
        <v>1</v>
      </c>
      <c r="J13" s="63"/>
      <c r="L13" s="27"/>
      <c r="M13" s="27"/>
      <c r="N13" s="27"/>
      <c r="O13" s="2"/>
    </row>
    <row r="14" spans="1:15" ht="12" customHeight="1" x14ac:dyDescent="0.25">
      <c r="A14" s="8" t="s">
        <v>27</v>
      </c>
      <c r="F14" s="32"/>
      <c r="G14" s="32"/>
      <c r="H14" s="32"/>
      <c r="I14" s="31"/>
      <c r="J14" s="64"/>
      <c r="L14" s="27"/>
      <c r="M14" s="27"/>
      <c r="N14" s="27"/>
      <c r="O14" s="2"/>
    </row>
    <row r="15" spans="1:15" ht="12" customHeight="1" x14ac:dyDescent="0.25">
      <c r="A15" s="4" t="s">
        <v>28</v>
      </c>
      <c r="B15" s="5"/>
      <c r="C15" s="5"/>
      <c r="D15" s="5"/>
      <c r="E15" s="5"/>
      <c r="F15" s="30"/>
      <c r="G15" s="30"/>
      <c r="H15" s="35" t="s">
        <v>23</v>
      </c>
      <c r="I15" s="38">
        <f>IF(F15="X",0,IF(G15="X",1,IF(H15="X",2,0)))</f>
        <v>2</v>
      </c>
      <c r="J15" s="57" t="s">
        <v>115</v>
      </c>
      <c r="L15" s="26" t="s">
        <v>29</v>
      </c>
      <c r="M15" s="27"/>
      <c r="N15" s="27"/>
      <c r="O15" s="2"/>
    </row>
    <row r="16" spans="1:15" ht="12" customHeight="1" x14ac:dyDescent="0.25">
      <c r="A16" s="8" t="s">
        <v>30</v>
      </c>
      <c r="F16" s="32"/>
      <c r="G16" s="32"/>
      <c r="H16" s="37"/>
      <c r="I16" s="40"/>
      <c r="J16" s="58"/>
      <c r="L16" s="27"/>
      <c r="M16" s="27"/>
      <c r="N16" s="27"/>
      <c r="O16" s="2"/>
    </row>
    <row r="17" spans="1:15" ht="12" customHeight="1" x14ac:dyDescent="0.25">
      <c r="A17" s="4" t="s">
        <v>31</v>
      </c>
      <c r="B17" s="5"/>
      <c r="C17" s="5"/>
      <c r="D17" s="5"/>
      <c r="E17" s="5"/>
      <c r="F17" s="7"/>
      <c r="G17" s="7"/>
      <c r="H17" s="42"/>
      <c r="I17" s="49">
        <f>SUM(I19:I24)</f>
        <v>1</v>
      </c>
      <c r="J17" s="60" t="s">
        <v>116</v>
      </c>
      <c r="L17" s="2"/>
      <c r="M17" s="2"/>
      <c r="N17" s="2"/>
      <c r="O17" s="2"/>
    </row>
    <row r="18" spans="1:15" ht="12" customHeight="1" x14ac:dyDescent="0.25">
      <c r="A18" s="8" t="s">
        <v>32</v>
      </c>
      <c r="F18" s="11"/>
      <c r="G18" s="11"/>
      <c r="H18" s="48"/>
      <c r="I18" s="40"/>
      <c r="J18" s="61"/>
      <c r="L18" s="2"/>
      <c r="M18" s="2"/>
      <c r="N18" s="2"/>
      <c r="O18" s="2"/>
    </row>
    <row r="19" spans="1:15" ht="12" customHeight="1" x14ac:dyDescent="0.25">
      <c r="A19" s="4" t="s">
        <v>33</v>
      </c>
      <c r="B19" s="5"/>
      <c r="C19" s="5"/>
      <c r="D19" s="5"/>
      <c r="E19" s="5"/>
      <c r="F19" s="30"/>
      <c r="G19" s="30" t="s">
        <v>23</v>
      </c>
      <c r="H19" s="30"/>
      <c r="I19" s="33">
        <f>IF(F19="X",0,IF(G19="X",0.5,IF(H19="X",1,"")))</f>
        <v>0.5</v>
      </c>
      <c r="J19" s="61"/>
      <c r="L19" s="29" t="s">
        <v>34</v>
      </c>
      <c r="M19" s="27"/>
      <c r="N19" s="27"/>
      <c r="O19" s="27"/>
    </row>
    <row r="20" spans="1:15" ht="12" customHeight="1" x14ac:dyDescent="0.25">
      <c r="A20" s="8" t="s">
        <v>35</v>
      </c>
      <c r="F20" s="31"/>
      <c r="G20" s="31"/>
      <c r="H20" s="31"/>
      <c r="I20" s="31"/>
      <c r="J20" s="61"/>
      <c r="L20" s="27"/>
      <c r="M20" s="27"/>
      <c r="N20" s="27"/>
      <c r="O20" s="27"/>
    </row>
    <row r="21" spans="1:15" ht="12" customHeight="1" x14ac:dyDescent="0.25">
      <c r="A21" s="8" t="s">
        <v>36</v>
      </c>
      <c r="F21" s="32"/>
      <c r="G21" s="32"/>
      <c r="H21" s="32"/>
      <c r="I21" s="32"/>
      <c r="J21" s="61"/>
      <c r="L21" s="27"/>
      <c r="M21" s="27"/>
      <c r="N21" s="27"/>
      <c r="O21" s="27"/>
    </row>
    <row r="22" spans="1:15" ht="12" customHeight="1" x14ac:dyDescent="0.25">
      <c r="A22" s="4" t="s">
        <v>37</v>
      </c>
      <c r="B22" s="5"/>
      <c r="C22" s="5"/>
      <c r="D22" s="5"/>
      <c r="E22" s="5"/>
      <c r="F22" s="30"/>
      <c r="G22" s="30" t="s">
        <v>23</v>
      </c>
      <c r="H22" s="30"/>
      <c r="I22" s="34">
        <f>IF(F22="X",0,IF(G22="X",0.5,IF(H22="X",1,"")))</f>
        <v>0.5</v>
      </c>
      <c r="J22" s="61"/>
      <c r="L22" s="27"/>
      <c r="M22" s="27"/>
      <c r="N22" s="27"/>
      <c r="O22" s="27"/>
    </row>
    <row r="23" spans="1:15" ht="12" customHeight="1" x14ac:dyDescent="0.25">
      <c r="A23" s="8" t="s">
        <v>38</v>
      </c>
      <c r="F23" s="31"/>
      <c r="G23" s="31"/>
      <c r="H23" s="31"/>
      <c r="I23" s="31"/>
      <c r="J23" s="61"/>
      <c r="L23" s="27"/>
      <c r="M23" s="27"/>
      <c r="N23" s="27"/>
      <c r="O23" s="27"/>
    </row>
    <row r="24" spans="1:15" ht="12.5" x14ac:dyDescent="0.25">
      <c r="A24" s="8" t="s">
        <v>25</v>
      </c>
      <c r="F24" s="32"/>
      <c r="G24" s="32"/>
      <c r="H24" s="32"/>
      <c r="I24" s="31"/>
      <c r="J24" s="62"/>
      <c r="L24" s="27"/>
      <c r="M24" s="27"/>
      <c r="N24" s="27"/>
      <c r="O24" s="27"/>
    </row>
    <row r="25" spans="1:15" ht="12" customHeight="1" x14ac:dyDescent="0.25">
      <c r="A25" s="4" t="s">
        <v>39</v>
      </c>
      <c r="B25" s="5"/>
      <c r="C25" s="5"/>
      <c r="D25" s="5"/>
      <c r="E25" s="5"/>
      <c r="F25" s="30"/>
      <c r="G25" s="30"/>
      <c r="H25" s="35" t="s">
        <v>23</v>
      </c>
      <c r="I25" s="38">
        <f>IF(F25="X",0,IF(G25="X",1,IF(H25="X",2,0)))</f>
        <v>2</v>
      </c>
      <c r="J25" s="65" t="s">
        <v>118</v>
      </c>
      <c r="L25" s="29" t="s">
        <v>40</v>
      </c>
      <c r="M25" s="27"/>
      <c r="N25" s="27"/>
      <c r="O25" s="27"/>
    </row>
    <row r="26" spans="1:15" ht="12" customHeight="1" x14ac:dyDescent="0.25">
      <c r="A26" s="8" t="s">
        <v>41</v>
      </c>
      <c r="E26" s="10"/>
      <c r="F26" s="31"/>
      <c r="G26" s="31"/>
      <c r="H26" s="36"/>
      <c r="I26" s="39"/>
      <c r="J26" s="66"/>
      <c r="L26" s="27"/>
      <c r="M26" s="27"/>
      <c r="N26" s="27"/>
      <c r="O26" s="27"/>
    </row>
    <row r="27" spans="1:15" ht="12" customHeight="1" x14ac:dyDescent="0.25">
      <c r="A27" s="8" t="s">
        <v>42</v>
      </c>
      <c r="F27" s="31"/>
      <c r="G27" s="31"/>
      <c r="H27" s="36"/>
      <c r="I27" s="39"/>
      <c r="J27" s="66"/>
      <c r="L27" s="27"/>
      <c r="M27" s="27"/>
      <c r="N27" s="27"/>
      <c r="O27" s="27"/>
    </row>
    <row r="28" spans="1:15" ht="12" customHeight="1" x14ac:dyDescent="0.25">
      <c r="A28" s="8" t="s">
        <v>43</v>
      </c>
      <c r="F28" s="32"/>
      <c r="G28" s="32"/>
      <c r="H28" s="37"/>
      <c r="I28" s="40"/>
      <c r="J28" s="67"/>
      <c r="L28" s="27"/>
      <c r="M28" s="27"/>
      <c r="N28" s="27"/>
      <c r="O28" s="27"/>
    </row>
    <row r="29" spans="1:15" ht="12" customHeight="1" x14ac:dyDescent="0.25">
      <c r="A29" s="4" t="s">
        <v>44</v>
      </c>
      <c r="B29" s="5"/>
      <c r="C29" s="5"/>
      <c r="D29" s="5"/>
      <c r="E29" s="5"/>
      <c r="F29" s="30"/>
      <c r="G29" s="30"/>
      <c r="H29" s="68" t="s">
        <v>23</v>
      </c>
      <c r="I29" s="38">
        <f>IF(F29="X",0,IF(G29="X",1,IF(H29="X",2,0)))</f>
        <v>2</v>
      </c>
      <c r="J29" s="65" t="s">
        <v>119</v>
      </c>
      <c r="L29" s="29" t="s">
        <v>45</v>
      </c>
      <c r="M29" s="27"/>
      <c r="N29" s="27"/>
      <c r="O29" s="27"/>
    </row>
    <row r="30" spans="1:15" ht="12" customHeight="1" x14ac:dyDescent="0.25">
      <c r="A30" s="8" t="s">
        <v>46</v>
      </c>
      <c r="F30" s="31"/>
      <c r="G30" s="31"/>
      <c r="H30" s="36"/>
      <c r="I30" s="39"/>
      <c r="J30" s="66"/>
      <c r="L30" s="27"/>
      <c r="M30" s="27"/>
      <c r="N30" s="27"/>
      <c r="O30" s="27"/>
    </row>
    <row r="31" spans="1:15" ht="12" customHeight="1" x14ac:dyDescent="0.25">
      <c r="A31" s="8" t="s">
        <v>47</v>
      </c>
      <c r="F31" s="31"/>
      <c r="G31" s="31"/>
      <c r="H31" s="36"/>
      <c r="I31" s="39"/>
      <c r="J31" s="66"/>
      <c r="L31" s="27"/>
      <c r="M31" s="27"/>
      <c r="N31" s="27"/>
      <c r="O31" s="27"/>
    </row>
    <row r="32" spans="1:15" ht="12" customHeight="1" x14ac:dyDescent="0.25">
      <c r="A32" s="8" t="s">
        <v>48</v>
      </c>
      <c r="F32" s="32"/>
      <c r="G32" s="32"/>
      <c r="H32" s="37"/>
      <c r="I32" s="40"/>
      <c r="J32" s="67"/>
      <c r="L32" s="27"/>
      <c r="M32" s="27"/>
      <c r="N32" s="27"/>
      <c r="O32" s="27"/>
    </row>
    <row r="33" spans="1:15" ht="12" customHeight="1" x14ac:dyDescent="0.25">
      <c r="A33" s="4" t="s">
        <v>49</v>
      </c>
      <c r="B33" s="5"/>
      <c r="C33" s="5"/>
      <c r="D33" s="5"/>
      <c r="E33" s="5"/>
      <c r="F33" s="7"/>
      <c r="G33" s="7"/>
      <c r="H33" s="4"/>
      <c r="I33" s="38">
        <f>SUM(I35:I42)</f>
        <v>2</v>
      </c>
      <c r="J33" s="59" t="s">
        <v>120</v>
      </c>
      <c r="L33" s="2"/>
      <c r="M33" s="2"/>
      <c r="N33" s="2"/>
      <c r="O33" s="2"/>
    </row>
    <row r="34" spans="1:15" ht="12" customHeight="1" x14ac:dyDescent="0.25">
      <c r="A34" s="15" t="s">
        <v>50</v>
      </c>
      <c r="B34" s="16"/>
      <c r="C34" s="16"/>
      <c r="D34" s="16"/>
      <c r="E34" s="16"/>
      <c r="F34" s="17"/>
      <c r="G34" s="17"/>
      <c r="H34" s="15"/>
      <c r="I34" s="40"/>
      <c r="J34" s="63"/>
      <c r="L34" s="2"/>
      <c r="M34" s="2"/>
      <c r="N34" s="2"/>
      <c r="O34" s="2"/>
    </row>
    <row r="35" spans="1:15" ht="12" customHeight="1" x14ac:dyDescent="0.25">
      <c r="A35" s="4" t="s">
        <v>51</v>
      </c>
      <c r="B35" s="5"/>
      <c r="C35" s="5"/>
      <c r="D35" s="5"/>
      <c r="E35" s="5"/>
      <c r="F35" s="30"/>
      <c r="G35" s="30"/>
      <c r="H35" s="30" t="s">
        <v>23</v>
      </c>
      <c r="I35" s="33">
        <f>IF(F35="X",0,IF(G35="X",0.33,IF(H35="X",0.67,"")))</f>
        <v>0.67</v>
      </c>
      <c r="J35" s="63"/>
      <c r="L35" s="26" t="s">
        <v>52</v>
      </c>
      <c r="M35" s="27"/>
      <c r="N35" s="27"/>
      <c r="O35" s="27"/>
    </row>
    <row r="36" spans="1:15" ht="12" customHeight="1" x14ac:dyDescent="0.25">
      <c r="A36" s="8" t="s">
        <v>53</v>
      </c>
      <c r="F36" s="32"/>
      <c r="G36" s="32"/>
      <c r="H36" s="32"/>
      <c r="I36" s="32"/>
      <c r="J36" s="63"/>
      <c r="L36" s="27"/>
      <c r="M36" s="27"/>
      <c r="N36" s="27"/>
      <c r="O36" s="27"/>
    </row>
    <row r="37" spans="1:15" ht="12" customHeight="1" x14ac:dyDescent="0.25">
      <c r="A37" s="4" t="s">
        <v>54</v>
      </c>
      <c r="B37" s="5"/>
      <c r="C37" s="5"/>
      <c r="D37" s="5"/>
      <c r="E37" s="5"/>
      <c r="F37" s="30"/>
      <c r="G37" s="30"/>
      <c r="H37" s="30" t="s">
        <v>23</v>
      </c>
      <c r="I37" s="34">
        <f>IF(F37="X",0,IF(G37="X",0.33,IF(H37="X",0.67,"")))</f>
        <v>0.67</v>
      </c>
      <c r="J37" s="63"/>
      <c r="L37" s="29" t="s">
        <v>55</v>
      </c>
      <c r="M37" s="27"/>
      <c r="N37" s="27"/>
      <c r="O37" s="27"/>
    </row>
    <row r="38" spans="1:15" ht="12" customHeight="1" x14ac:dyDescent="0.25">
      <c r="A38" s="8" t="s">
        <v>56</v>
      </c>
      <c r="F38" s="31"/>
      <c r="G38" s="31"/>
      <c r="H38" s="31"/>
      <c r="I38" s="31"/>
      <c r="J38" s="63"/>
      <c r="L38" s="27"/>
      <c r="M38" s="27"/>
      <c r="N38" s="27"/>
      <c r="O38" s="27"/>
    </row>
    <row r="39" spans="1:15" ht="12" customHeight="1" x14ac:dyDescent="0.25">
      <c r="A39" s="15" t="s">
        <v>57</v>
      </c>
      <c r="B39" s="16"/>
      <c r="C39" s="16"/>
      <c r="D39" s="16"/>
      <c r="E39" s="16"/>
      <c r="F39" s="32"/>
      <c r="G39" s="32"/>
      <c r="H39" s="32"/>
      <c r="I39" s="32"/>
      <c r="J39" s="63"/>
      <c r="L39" s="27"/>
      <c r="M39" s="27"/>
      <c r="N39" s="27"/>
      <c r="O39" s="27"/>
    </row>
    <row r="40" spans="1:15" ht="12" customHeight="1" x14ac:dyDescent="0.25">
      <c r="A40" s="8" t="s">
        <v>58</v>
      </c>
      <c r="F40" s="30"/>
      <c r="G40" s="30"/>
      <c r="H40" s="30" t="s">
        <v>23</v>
      </c>
      <c r="I40" s="34">
        <f>IF(F40="X",0,IF(G40="X",0.33,IF(H40="X",0.66,"")))</f>
        <v>0.66</v>
      </c>
      <c r="J40" s="63"/>
      <c r="L40" s="2"/>
      <c r="M40" s="2"/>
      <c r="N40" s="2"/>
      <c r="O40" s="2"/>
    </row>
    <row r="41" spans="1:15" ht="12" customHeight="1" x14ac:dyDescent="0.25">
      <c r="A41" s="8" t="s">
        <v>59</v>
      </c>
      <c r="F41" s="31"/>
      <c r="G41" s="31"/>
      <c r="H41" s="31"/>
      <c r="I41" s="31"/>
      <c r="J41" s="63"/>
      <c r="L41" s="2"/>
      <c r="M41" s="2"/>
      <c r="N41" s="2"/>
      <c r="O41" s="2"/>
    </row>
    <row r="42" spans="1:15" ht="12" customHeight="1" x14ac:dyDescent="0.25">
      <c r="A42" s="8" t="s">
        <v>60</v>
      </c>
      <c r="F42" s="32"/>
      <c r="G42" s="32"/>
      <c r="H42" s="32"/>
      <c r="I42" s="31"/>
      <c r="J42" s="64"/>
      <c r="L42" s="2"/>
      <c r="M42" s="2"/>
      <c r="N42" s="2"/>
      <c r="O42" s="2"/>
    </row>
    <row r="43" spans="1:15" ht="12" customHeight="1" x14ac:dyDescent="0.25">
      <c r="A43" s="4" t="s">
        <v>61</v>
      </c>
      <c r="B43" s="5"/>
      <c r="C43" s="5"/>
      <c r="D43" s="5"/>
      <c r="E43" s="5"/>
      <c r="F43" s="30"/>
      <c r="G43" s="30" t="s">
        <v>23</v>
      </c>
      <c r="H43" s="35"/>
      <c r="I43" s="38">
        <f>IF(F43="X",0,IF(G43="X",1,IF(H43="X",2,0)))</f>
        <v>1</v>
      </c>
      <c r="J43" s="53"/>
      <c r="L43" s="2"/>
      <c r="M43" s="2"/>
      <c r="N43" s="2"/>
      <c r="O43" s="2"/>
    </row>
    <row r="44" spans="1:15" ht="12" customHeight="1" x14ac:dyDescent="0.25">
      <c r="A44" s="8" t="s">
        <v>62</v>
      </c>
      <c r="F44" s="31"/>
      <c r="G44" s="31"/>
      <c r="H44" s="36"/>
      <c r="I44" s="39"/>
      <c r="J44" s="54"/>
      <c r="L44" s="2"/>
      <c r="M44" s="2"/>
      <c r="N44" s="2"/>
      <c r="O44" s="2"/>
    </row>
    <row r="45" spans="1:15" ht="12" customHeight="1" x14ac:dyDescent="0.25">
      <c r="A45" s="8" t="s">
        <v>63</v>
      </c>
      <c r="F45" s="31"/>
      <c r="G45" s="31"/>
      <c r="H45" s="36"/>
      <c r="I45" s="39"/>
      <c r="J45" s="54"/>
      <c r="L45" s="2"/>
      <c r="M45" s="2"/>
      <c r="N45" s="2"/>
      <c r="O45" s="2"/>
    </row>
    <row r="46" spans="1:15" ht="12" customHeight="1" x14ac:dyDescent="0.25">
      <c r="A46" s="8" t="s">
        <v>64</v>
      </c>
      <c r="F46" s="31"/>
      <c r="G46" s="31"/>
      <c r="H46" s="36"/>
      <c r="I46" s="39"/>
      <c r="J46" s="54"/>
      <c r="L46" s="2"/>
      <c r="M46" s="2"/>
      <c r="N46" s="2"/>
      <c r="O46" s="2"/>
    </row>
    <row r="47" spans="1:15" ht="12" customHeight="1" x14ac:dyDescent="0.25">
      <c r="A47" s="8" t="s">
        <v>65</v>
      </c>
      <c r="F47" s="32"/>
      <c r="G47" s="32"/>
      <c r="H47" s="37"/>
      <c r="I47" s="40"/>
      <c r="J47" s="54"/>
      <c r="L47" s="2"/>
      <c r="M47" s="2"/>
      <c r="N47" s="2"/>
      <c r="O47" s="2"/>
    </row>
    <row r="48" spans="1:15" ht="12" customHeight="1" x14ac:dyDescent="0.25">
      <c r="A48" s="4" t="s">
        <v>66</v>
      </c>
      <c r="B48" s="5"/>
      <c r="C48" s="5"/>
      <c r="D48" s="5"/>
      <c r="E48" s="5"/>
      <c r="F48" s="30"/>
      <c r="G48" s="30"/>
      <c r="H48" s="35" t="s">
        <v>23</v>
      </c>
      <c r="I48" s="38">
        <f>IF(F48="X",0,IF(G48="X",1,IF(H48="X",2,0)))</f>
        <v>2</v>
      </c>
      <c r="J48" s="53"/>
      <c r="L48" s="29" t="s">
        <v>67</v>
      </c>
      <c r="M48" s="27"/>
      <c r="N48" s="27"/>
      <c r="O48" s="27"/>
    </row>
    <row r="49" spans="1:15" ht="12" customHeight="1" x14ac:dyDescent="0.25">
      <c r="A49" s="8" t="s">
        <v>68</v>
      </c>
      <c r="F49" s="31"/>
      <c r="G49" s="31"/>
      <c r="H49" s="36"/>
      <c r="I49" s="39"/>
      <c r="J49" s="54"/>
      <c r="L49" s="27"/>
      <c r="M49" s="27"/>
      <c r="N49" s="27"/>
      <c r="O49" s="27"/>
    </row>
    <row r="50" spans="1:15" ht="12" customHeight="1" x14ac:dyDescent="0.25">
      <c r="A50" s="8" t="s">
        <v>69</v>
      </c>
      <c r="F50" s="31"/>
      <c r="G50" s="31"/>
      <c r="H50" s="36"/>
      <c r="I50" s="39"/>
      <c r="J50" s="54"/>
      <c r="L50" s="27"/>
      <c r="M50" s="27"/>
      <c r="N50" s="27"/>
      <c r="O50" s="27"/>
    </row>
    <row r="51" spans="1:15" ht="12" customHeight="1" x14ac:dyDescent="0.25">
      <c r="A51" s="8" t="s">
        <v>70</v>
      </c>
      <c r="F51" s="32"/>
      <c r="G51" s="32"/>
      <c r="H51" s="37"/>
      <c r="I51" s="40"/>
      <c r="J51" s="54"/>
      <c r="L51" s="27"/>
      <c r="M51" s="27"/>
      <c r="N51" s="27"/>
      <c r="O51" s="27"/>
    </row>
    <row r="52" spans="1:15" ht="12" customHeight="1" x14ac:dyDescent="0.25">
      <c r="A52" s="4" t="s">
        <v>71</v>
      </c>
      <c r="B52" s="5"/>
      <c r="C52" s="5"/>
      <c r="D52" s="5"/>
      <c r="E52" s="5"/>
      <c r="F52" s="7"/>
      <c r="G52" s="7"/>
      <c r="H52" s="4"/>
      <c r="I52" s="18">
        <f>SUM(I53:I63)</f>
        <v>2</v>
      </c>
      <c r="J52" s="53"/>
      <c r="L52" s="2"/>
      <c r="M52" s="2"/>
      <c r="N52" s="2"/>
      <c r="O52" s="2"/>
    </row>
    <row r="53" spans="1:15" ht="12" customHeight="1" x14ac:dyDescent="0.25">
      <c r="A53" s="4" t="s">
        <v>72</v>
      </c>
      <c r="B53" s="5"/>
      <c r="C53" s="5"/>
      <c r="D53" s="5"/>
      <c r="E53" s="5"/>
      <c r="F53" s="30"/>
      <c r="G53" s="30"/>
      <c r="H53" s="30" t="s">
        <v>23</v>
      </c>
      <c r="I53" s="33">
        <f>IF(F53="X",0,IF(G53="X",0.5,IF(H53="X",1,"")))</f>
        <v>1</v>
      </c>
      <c r="J53" s="53"/>
      <c r="L53" s="2"/>
      <c r="M53" s="2"/>
      <c r="N53" s="2"/>
      <c r="O53" s="2"/>
    </row>
    <row r="54" spans="1:15" ht="12" customHeight="1" x14ac:dyDescent="0.25">
      <c r="A54" s="8" t="s">
        <v>73</v>
      </c>
      <c r="F54" s="31"/>
      <c r="G54" s="31"/>
      <c r="H54" s="31"/>
      <c r="I54" s="31"/>
      <c r="J54" s="54"/>
      <c r="L54" s="2" t="s">
        <v>112</v>
      </c>
      <c r="M54" s="2"/>
      <c r="N54" s="2"/>
      <c r="O54" s="2"/>
    </row>
    <row r="55" spans="1:15" ht="12" customHeight="1" x14ac:dyDescent="0.25">
      <c r="A55" s="8" t="s">
        <v>74</v>
      </c>
      <c r="F55" s="31"/>
      <c r="G55" s="31"/>
      <c r="H55" s="31"/>
      <c r="I55" s="31"/>
      <c r="J55" s="54"/>
      <c r="L55" s="2"/>
      <c r="M55" s="2"/>
      <c r="N55" s="2"/>
      <c r="O55" s="2"/>
    </row>
    <row r="56" spans="1:15" ht="12" customHeight="1" x14ac:dyDescent="0.25">
      <c r="A56" s="8" t="s">
        <v>75</v>
      </c>
      <c r="F56" s="31"/>
      <c r="G56" s="31"/>
      <c r="H56" s="31"/>
      <c r="I56" s="31"/>
      <c r="J56" s="54"/>
      <c r="L56" s="2"/>
      <c r="M56" s="2"/>
      <c r="N56" s="2"/>
      <c r="O56" s="2"/>
    </row>
    <row r="57" spans="1:15" ht="12" customHeight="1" x14ac:dyDescent="0.25">
      <c r="A57" s="8" t="s">
        <v>76</v>
      </c>
      <c r="F57" s="32"/>
      <c r="G57" s="32"/>
      <c r="H57" s="32"/>
      <c r="I57" s="32"/>
      <c r="J57" s="54"/>
      <c r="L57" s="2"/>
      <c r="M57" s="2"/>
      <c r="N57" s="2"/>
      <c r="O57" s="2"/>
    </row>
    <row r="58" spans="1:15" ht="12" customHeight="1" x14ac:dyDescent="0.25">
      <c r="A58" s="4" t="s">
        <v>77</v>
      </c>
      <c r="B58" s="5"/>
      <c r="C58" s="5"/>
      <c r="D58" s="5"/>
      <c r="E58" s="5"/>
      <c r="F58" s="30"/>
      <c r="G58" s="30"/>
      <c r="H58" s="30" t="s">
        <v>23</v>
      </c>
      <c r="I58" s="34">
        <f>IF(F58="X",0,IF(G58="X",0.5,IF(H58="X",1,"")))</f>
        <v>1</v>
      </c>
      <c r="J58" s="53"/>
      <c r="L58" s="2"/>
      <c r="M58" s="2"/>
      <c r="N58" s="2"/>
      <c r="O58" s="2"/>
    </row>
    <row r="59" spans="1:15" ht="12" customHeight="1" x14ac:dyDescent="0.25">
      <c r="A59" s="8" t="s">
        <v>78</v>
      </c>
      <c r="F59" s="31"/>
      <c r="G59" s="31"/>
      <c r="H59" s="31"/>
      <c r="I59" s="31"/>
      <c r="J59" s="54"/>
      <c r="L59" s="2"/>
      <c r="M59" s="2"/>
      <c r="N59" s="2"/>
      <c r="O59" s="2"/>
    </row>
    <row r="60" spans="1:15" ht="12" customHeight="1" x14ac:dyDescent="0.25">
      <c r="A60" s="8" t="s">
        <v>79</v>
      </c>
      <c r="F60" s="31"/>
      <c r="G60" s="31"/>
      <c r="H60" s="31"/>
      <c r="I60" s="31"/>
      <c r="J60" s="54"/>
      <c r="L60" s="2"/>
      <c r="M60" s="2"/>
      <c r="N60" s="2"/>
      <c r="O60" s="2"/>
    </row>
    <row r="61" spans="1:15" ht="12" customHeight="1" x14ac:dyDescent="0.25">
      <c r="A61" s="8" t="s">
        <v>80</v>
      </c>
      <c r="F61" s="31"/>
      <c r="G61" s="31"/>
      <c r="H61" s="31"/>
      <c r="I61" s="31"/>
      <c r="J61" s="54"/>
      <c r="L61" s="2" t="s">
        <v>113</v>
      </c>
      <c r="M61" s="2"/>
      <c r="N61" s="2"/>
      <c r="O61" s="2"/>
    </row>
    <row r="62" spans="1:15" ht="12" customHeight="1" x14ac:dyDescent="0.25">
      <c r="A62" s="8" t="s">
        <v>81</v>
      </c>
      <c r="F62" s="31"/>
      <c r="G62" s="31"/>
      <c r="H62" s="31"/>
      <c r="I62" s="31"/>
      <c r="J62" s="54"/>
      <c r="L62" s="2"/>
      <c r="M62" s="2"/>
      <c r="N62" s="2"/>
      <c r="O62" s="2"/>
    </row>
    <row r="63" spans="1:15" ht="12" customHeight="1" x14ac:dyDescent="0.25">
      <c r="A63" s="8" t="s">
        <v>82</v>
      </c>
      <c r="F63" s="32"/>
      <c r="G63" s="32"/>
      <c r="H63" s="32"/>
      <c r="I63" s="31"/>
      <c r="J63" s="54"/>
      <c r="L63" s="2"/>
      <c r="M63" s="2"/>
      <c r="N63" s="2"/>
      <c r="O63" s="2"/>
    </row>
    <row r="64" spans="1:15" ht="12" customHeight="1" x14ac:dyDescent="0.25">
      <c r="A64" s="4" t="s">
        <v>83</v>
      </c>
      <c r="B64" s="5"/>
      <c r="C64" s="5"/>
      <c r="D64" s="5"/>
      <c r="E64" s="5"/>
      <c r="F64" s="7"/>
      <c r="G64" s="7"/>
      <c r="H64" s="4"/>
      <c r="I64" s="38">
        <f>SUM(I66:I78)</f>
        <v>2</v>
      </c>
      <c r="J64" s="53"/>
      <c r="L64" s="2"/>
      <c r="M64" s="2"/>
      <c r="N64" s="2"/>
      <c r="O64" s="2"/>
    </row>
    <row r="65" spans="1:15" ht="12" customHeight="1" x14ac:dyDescent="0.25">
      <c r="A65" s="8" t="s">
        <v>84</v>
      </c>
      <c r="F65" s="11"/>
      <c r="G65" s="11"/>
      <c r="H65" s="8"/>
      <c r="I65" s="40"/>
      <c r="J65" s="54"/>
      <c r="L65" s="2"/>
      <c r="M65" s="2"/>
      <c r="N65" s="2"/>
      <c r="O65" s="2"/>
    </row>
    <row r="66" spans="1:15" ht="12" customHeight="1" x14ac:dyDescent="0.25">
      <c r="A66" s="4" t="s">
        <v>85</v>
      </c>
      <c r="B66" s="5"/>
      <c r="C66" s="5"/>
      <c r="D66" s="5"/>
      <c r="E66" s="5"/>
      <c r="F66" s="30"/>
      <c r="G66" s="30"/>
      <c r="H66" s="30" t="s">
        <v>23</v>
      </c>
      <c r="I66" s="33">
        <f>IF(F66="X",0,IF(G66="X",0.33,IF(H66="X",0.67,"")))</f>
        <v>0.67</v>
      </c>
      <c r="J66" s="53"/>
      <c r="L66" s="2"/>
      <c r="M66" s="2"/>
      <c r="N66" s="2"/>
      <c r="O66" s="2"/>
    </row>
    <row r="67" spans="1:15" ht="12" customHeight="1" x14ac:dyDescent="0.25">
      <c r="A67" s="8" t="s">
        <v>86</v>
      </c>
      <c r="F67" s="31"/>
      <c r="G67" s="31"/>
      <c r="H67" s="31"/>
      <c r="I67" s="31"/>
      <c r="J67" s="54"/>
      <c r="L67" s="2"/>
      <c r="M67" s="2"/>
      <c r="N67" s="2"/>
      <c r="O67" s="2"/>
    </row>
    <row r="68" spans="1:15" ht="12" customHeight="1" x14ac:dyDescent="0.25">
      <c r="A68" s="8" t="s">
        <v>87</v>
      </c>
      <c r="F68" s="31"/>
      <c r="G68" s="31"/>
      <c r="H68" s="31"/>
      <c r="I68" s="31"/>
      <c r="J68" s="54"/>
      <c r="L68" s="2"/>
      <c r="M68" s="2"/>
      <c r="N68" s="2"/>
      <c r="O68" s="2"/>
    </row>
    <row r="69" spans="1:15" ht="12" customHeight="1" x14ac:dyDescent="0.25">
      <c r="A69" s="8" t="s">
        <v>88</v>
      </c>
      <c r="F69" s="31"/>
      <c r="G69" s="31"/>
      <c r="H69" s="31"/>
      <c r="I69" s="31"/>
      <c r="J69" s="54"/>
      <c r="L69" s="2"/>
      <c r="M69" s="2"/>
      <c r="N69" s="2"/>
      <c r="O69" s="2"/>
    </row>
    <row r="70" spans="1:15" ht="12" customHeight="1" x14ac:dyDescent="0.25">
      <c r="A70" s="8" t="s">
        <v>89</v>
      </c>
      <c r="F70" s="31"/>
      <c r="G70" s="31"/>
      <c r="H70" s="31"/>
      <c r="I70" s="31"/>
      <c r="J70" s="54"/>
      <c r="L70" s="2"/>
      <c r="M70" s="2"/>
      <c r="N70" s="2"/>
      <c r="O70" s="2"/>
    </row>
    <row r="71" spans="1:15" ht="12" customHeight="1" x14ac:dyDescent="0.25">
      <c r="A71" s="8" t="s">
        <v>90</v>
      </c>
      <c r="F71" s="31"/>
      <c r="G71" s="31"/>
      <c r="H71" s="31"/>
      <c r="I71" s="31"/>
      <c r="J71" s="54"/>
      <c r="L71" s="2"/>
      <c r="M71" s="2"/>
      <c r="N71" s="2"/>
      <c r="O71" s="2"/>
    </row>
    <row r="72" spans="1:15" ht="12" customHeight="1" x14ac:dyDescent="0.25">
      <c r="A72" s="8" t="s">
        <v>91</v>
      </c>
      <c r="F72" s="32"/>
      <c r="G72" s="32"/>
      <c r="H72" s="32"/>
      <c r="I72" s="32"/>
      <c r="J72" s="54"/>
      <c r="L72" s="2"/>
      <c r="M72" s="2"/>
      <c r="N72" s="2"/>
      <c r="O72" s="2"/>
    </row>
    <row r="73" spans="1:15" ht="12" customHeight="1" x14ac:dyDescent="0.25">
      <c r="A73" s="4" t="s">
        <v>92</v>
      </c>
      <c r="B73" s="5"/>
      <c r="C73" s="5"/>
      <c r="D73" s="5"/>
      <c r="E73" s="5"/>
      <c r="F73" s="30"/>
      <c r="G73" s="30"/>
      <c r="H73" s="69" t="s">
        <v>23</v>
      </c>
      <c r="I73" s="34">
        <f>IF(F73="X",0,IF(G73="X",0.33,IF(H73="X",0.67,"")))</f>
        <v>0.67</v>
      </c>
      <c r="J73" s="56"/>
      <c r="L73" s="28" t="s">
        <v>111</v>
      </c>
      <c r="M73" s="28"/>
      <c r="N73" s="28"/>
      <c r="O73" s="28"/>
    </row>
    <row r="74" spans="1:15" ht="12" customHeight="1" x14ac:dyDescent="0.25">
      <c r="A74" s="8" t="s">
        <v>93</v>
      </c>
      <c r="F74" s="31"/>
      <c r="G74" s="31"/>
      <c r="H74" s="31"/>
      <c r="I74" s="31"/>
      <c r="J74" s="54"/>
      <c r="L74" s="28"/>
      <c r="M74" s="28"/>
      <c r="N74" s="28"/>
      <c r="O74" s="28"/>
    </row>
    <row r="75" spans="1:15" ht="12" customHeight="1" x14ac:dyDescent="0.25">
      <c r="A75" s="8" t="s">
        <v>94</v>
      </c>
      <c r="F75" s="32"/>
      <c r="G75" s="32"/>
      <c r="H75" s="32"/>
      <c r="I75" s="32"/>
      <c r="J75" s="54"/>
      <c r="L75" s="28"/>
      <c r="M75" s="28"/>
      <c r="N75" s="28"/>
      <c r="O75" s="28"/>
    </row>
    <row r="76" spans="1:15" ht="12" customHeight="1" x14ac:dyDescent="0.25">
      <c r="A76" s="4" t="s">
        <v>95</v>
      </c>
      <c r="B76" s="5"/>
      <c r="C76" s="5"/>
      <c r="D76" s="5"/>
      <c r="E76" s="5"/>
      <c r="F76" s="30"/>
      <c r="G76" s="30"/>
      <c r="H76" s="69" t="s">
        <v>23</v>
      </c>
      <c r="I76" s="34">
        <f>IF(F76="X",0,IF(G76="X",0.33,IF(H76="X",0.66,"")))</f>
        <v>0.66</v>
      </c>
      <c r="J76" s="53"/>
      <c r="L76" s="70" t="s">
        <v>96</v>
      </c>
      <c r="M76" s="27"/>
      <c r="N76" s="27"/>
      <c r="O76" s="27"/>
    </row>
    <row r="77" spans="1:15" ht="12" customHeight="1" x14ac:dyDescent="0.25">
      <c r="A77" s="8" t="s">
        <v>97</v>
      </c>
      <c r="F77" s="31"/>
      <c r="G77" s="31"/>
      <c r="H77" s="31"/>
      <c r="I77" s="31"/>
      <c r="J77" s="54"/>
      <c r="L77" s="27"/>
      <c r="M77" s="27"/>
      <c r="N77" s="27"/>
      <c r="O77" s="27"/>
    </row>
    <row r="78" spans="1:15" ht="12" customHeight="1" x14ac:dyDescent="0.25">
      <c r="A78" s="8" t="s">
        <v>98</v>
      </c>
      <c r="F78" s="32"/>
      <c r="G78" s="32"/>
      <c r="H78" s="32"/>
      <c r="I78" s="32"/>
      <c r="J78" s="54"/>
      <c r="L78" s="27"/>
      <c r="M78" s="27"/>
      <c r="N78" s="27"/>
      <c r="O78" s="27"/>
    </row>
    <row r="79" spans="1:15" ht="12" customHeight="1" x14ac:dyDescent="0.25">
      <c r="A79" s="4" t="s">
        <v>99</v>
      </c>
      <c r="B79" s="5"/>
      <c r="C79" s="5"/>
      <c r="D79" s="5"/>
      <c r="E79" s="5"/>
      <c r="F79" s="7"/>
      <c r="G79" s="7"/>
      <c r="H79" s="7"/>
      <c r="I79" s="50">
        <f>SUM(I64,I52,I48,I43,I33,I29,I25,I17,I15,I8)</f>
        <v>18</v>
      </c>
      <c r="J79" s="53"/>
      <c r="L79" s="2"/>
      <c r="M79" s="2"/>
      <c r="N79" s="2"/>
      <c r="O79" s="2"/>
    </row>
    <row r="80" spans="1:15" ht="12" customHeight="1" x14ac:dyDescent="0.25">
      <c r="A80" s="15" t="s">
        <v>100</v>
      </c>
      <c r="B80" s="16"/>
      <c r="C80" s="16"/>
      <c r="D80" s="16"/>
      <c r="E80" s="16"/>
      <c r="F80" s="17"/>
      <c r="G80" s="17"/>
      <c r="H80" s="17"/>
      <c r="I80" s="32"/>
      <c r="J80" s="55"/>
      <c r="L80" s="2"/>
      <c r="M80" s="2"/>
      <c r="N80" s="2"/>
      <c r="O80" s="2"/>
    </row>
    <row r="81" spans="1:15" ht="12" customHeight="1" x14ac:dyDescent="0.25">
      <c r="L81" s="2"/>
      <c r="M81" s="2"/>
      <c r="N81" s="2"/>
      <c r="O81" s="2"/>
    </row>
    <row r="82" spans="1:15" ht="12" customHeight="1" x14ac:dyDescent="0.25">
      <c r="L82" s="2"/>
      <c r="M82" s="2"/>
      <c r="N82" s="2"/>
      <c r="O82" s="2"/>
    </row>
    <row r="83" spans="1:15" ht="12" customHeight="1" x14ac:dyDescent="0.25">
      <c r="L83" s="2"/>
      <c r="M83" s="2"/>
      <c r="N83" s="2"/>
      <c r="O83" s="2"/>
    </row>
    <row r="84" spans="1:15" ht="12" customHeight="1" x14ac:dyDescent="0.35">
      <c r="A84" s="19"/>
      <c r="B84" s="20" t="s">
        <v>101</v>
      </c>
      <c r="C84" s="21" t="s">
        <v>102</v>
      </c>
      <c r="D84" s="21"/>
      <c r="E84" s="21"/>
      <c r="F84" s="20"/>
      <c r="G84" s="20"/>
      <c r="H84" s="20"/>
      <c r="I84" s="5"/>
      <c r="J84" s="53"/>
      <c r="L84" s="2"/>
      <c r="M84" s="2"/>
      <c r="N84" s="2"/>
      <c r="O84" s="2"/>
    </row>
    <row r="85" spans="1:15" ht="12" customHeight="1" x14ac:dyDescent="0.35">
      <c r="A85" s="22"/>
      <c r="B85" s="23"/>
      <c r="C85" s="23"/>
      <c r="D85" s="23"/>
      <c r="E85" s="23"/>
      <c r="F85" s="23"/>
      <c r="G85" s="23"/>
      <c r="H85" s="23"/>
      <c r="J85" s="54"/>
      <c r="L85" s="2"/>
      <c r="M85" s="2"/>
      <c r="N85" s="2"/>
      <c r="O85" s="2"/>
    </row>
    <row r="86" spans="1:15" ht="12" customHeight="1" x14ac:dyDescent="0.35">
      <c r="A86" s="22"/>
      <c r="B86" s="23" t="s">
        <v>103</v>
      </c>
      <c r="C86" s="23"/>
      <c r="D86" s="23"/>
      <c r="E86" s="23"/>
      <c r="F86" s="23"/>
      <c r="G86" s="23"/>
      <c r="H86" s="23"/>
      <c r="J86" s="54"/>
      <c r="L86" s="2"/>
      <c r="M86" s="2"/>
      <c r="N86" s="2"/>
      <c r="O86" s="2"/>
    </row>
    <row r="87" spans="1:15" ht="12" customHeight="1" x14ac:dyDescent="0.35">
      <c r="A87" s="22"/>
      <c r="B87" s="23"/>
      <c r="C87" s="23"/>
      <c r="D87" s="23"/>
      <c r="E87" s="23"/>
      <c r="F87" s="23"/>
      <c r="G87" s="23"/>
      <c r="H87" s="23"/>
      <c r="J87" s="54"/>
      <c r="L87" s="2"/>
      <c r="M87" s="2"/>
      <c r="N87" s="2"/>
      <c r="O87" s="2"/>
    </row>
    <row r="88" spans="1:15" ht="12" customHeight="1" x14ac:dyDescent="0.35">
      <c r="A88" s="22" t="s">
        <v>104</v>
      </c>
      <c r="B88" s="23"/>
      <c r="C88" s="23"/>
      <c r="D88" s="23"/>
      <c r="E88" s="23"/>
      <c r="F88" s="23"/>
      <c r="G88" s="23"/>
      <c r="H88" s="23"/>
      <c r="J88" s="54"/>
      <c r="L88" s="2"/>
      <c r="M88" s="2"/>
      <c r="N88" s="2"/>
      <c r="O88" s="2"/>
    </row>
    <row r="89" spans="1:15" ht="12" customHeight="1" x14ac:dyDescent="0.35">
      <c r="A89" s="22"/>
      <c r="B89" s="23" t="s">
        <v>105</v>
      </c>
      <c r="C89" s="23"/>
      <c r="D89" s="23"/>
      <c r="E89" s="23"/>
      <c r="F89" s="23"/>
      <c r="G89" s="23"/>
      <c r="H89" s="23"/>
      <c r="J89" s="54"/>
      <c r="L89" s="2"/>
      <c r="M89" s="2"/>
      <c r="N89" s="2"/>
      <c r="O89" s="2"/>
    </row>
    <row r="90" spans="1:15" ht="12" customHeight="1" x14ac:dyDescent="0.35">
      <c r="A90" s="22"/>
      <c r="B90" s="23" t="s">
        <v>106</v>
      </c>
      <c r="C90" s="23"/>
      <c r="D90" s="23"/>
      <c r="E90" s="23"/>
      <c r="F90" s="23"/>
      <c r="G90" s="23"/>
      <c r="H90" s="23"/>
      <c r="J90" s="54"/>
      <c r="L90" s="2"/>
      <c r="M90" s="2"/>
      <c r="N90" s="2"/>
      <c r="O90" s="2"/>
    </row>
    <row r="91" spans="1:15" ht="12" customHeight="1" x14ac:dyDescent="0.35">
      <c r="A91" s="22"/>
      <c r="B91" s="23" t="s">
        <v>107</v>
      </c>
      <c r="C91" s="23"/>
      <c r="D91" s="23"/>
      <c r="E91" s="23"/>
      <c r="F91" s="23"/>
      <c r="G91" s="23"/>
      <c r="H91" s="23"/>
      <c r="J91" s="54"/>
      <c r="L91" s="2"/>
      <c r="M91" s="2"/>
      <c r="N91" s="2"/>
      <c r="O91" s="2"/>
    </row>
    <row r="92" spans="1:15" ht="12" customHeight="1" x14ac:dyDescent="0.35">
      <c r="A92" s="22"/>
      <c r="B92" s="23"/>
      <c r="C92" s="23"/>
      <c r="D92" s="23"/>
      <c r="E92" s="23"/>
      <c r="F92" s="23"/>
      <c r="G92" s="23"/>
      <c r="H92" s="23"/>
      <c r="J92" s="54"/>
      <c r="L92" s="2"/>
      <c r="M92" s="2"/>
      <c r="N92" s="2"/>
      <c r="O92" s="2"/>
    </row>
    <row r="93" spans="1:15" ht="12" customHeight="1" x14ac:dyDescent="0.35">
      <c r="A93" s="22" t="s">
        <v>108</v>
      </c>
      <c r="B93" s="23"/>
      <c r="C93" s="23"/>
      <c r="D93" s="23"/>
      <c r="E93" s="23"/>
      <c r="F93" s="23"/>
      <c r="G93" s="23"/>
      <c r="H93" s="23"/>
      <c r="J93" s="54"/>
      <c r="L93" s="2"/>
      <c r="M93" s="2"/>
      <c r="N93" s="2"/>
      <c r="O93" s="2"/>
    </row>
    <row r="94" spans="1:15" ht="12" customHeight="1" x14ac:dyDescent="0.35">
      <c r="A94" s="22" t="s">
        <v>109</v>
      </c>
      <c r="B94" s="23"/>
      <c r="C94" s="23"/>
      <c r="D94" s="23"/>
      <c r="E94" s="23"/>
      <c r="F94" s="23"/>
      <c r="G94" s="23"/>
      <c r="H94" s="23"/>
      <c r="J94" s="54"/>
      <c r="L94" s="2"/>
      <c r="M94" s="2"/>
      <c r="N94" s="2"/>
      <c r="O94" s="2"/>
    </row>
    <row r="95" spans="1:15" ht="12" customHeight="1" x14ac:dyDescent="0.35">
      <c r="A95" s="24"/>
      <c r="B95" s="25"/>
      <c r="C95" s="25"/>
      <c r="D95" s="25"/>
      <c r="E95" s="25"/>
      <c r="F95" s="25"/>
      <c r="G95" s="25"/>
      <c r="H95" s="25"/>
      <c r="I95" s="16"/>
      <c r="J95" s="55"/>
      <c r="L95" s="2"/>
      <c r="M95" s="2"/>
      <c r="N95" s="2"/>
      <c r="O95" s="2"/>
    </row>
    <row r="96" spans="1:15" ht="12" customHeight="1" x14ac:dyDescent="0.25">
      <c r="L96" s="2"/>
      <c r="M96" s="2"/>
      <c r="N96" s="2"/>
      <c r="O96" s="2"/>
    </row>
    <row r="97" spans="12:15" ht="12" customHeight="1" x14ac:dyDescent="0.25">
      <c r="L97" s="2"/>
      <c r="M97" s="2"/>
      <c r="N97" s="2"/>
      <c r="O97" s="2"/>
    </row>
    <row r="98" spans="12:15" ht="12" customHeight="1" x14ac:dyDescent="0.25">
      <c r="L98" s="2"/>
      <c r="M98" s="2"/>
      <c r="N98" s="2"/>
      <c r="O98" s="2"/>
    </row>
    <row r="99" spans="12:15" ht="12" customHeight="1" x14ac:dyDescent="0.25">
      <c r="L99" s="2"/>
      <c r="M99" s="2"/>
      <c r="N99" s="2"/>
      <c r="O99" s="2"/>
    </row>
    <row r="100" spans="12:15" ht="12" customHeight="1" x14ac:dyDescent="0.25">
      <c r="L100" s="2"/>
      <c r="M100" s="2"/>
      <c r="N100" s="2"/>
      <c r="O100" s="2"/>
    </row>
    <row r="101" spans="12:15" ht="12" customHeight="1" x14ac:dyDescent="0.25">
      <c r="L101" s="2"/>
      <c r="M101" s="2"/>
      <c r="N101" s="2"/>
      <c r="O101" s="2"/>
    </row>
    <row r="102" spans="12:15" ht="12" customHeight="1" x14ac:dyDescent="0.25">
      <c r="L102" s="2"/>
      <c r="M102" s="2"/>
      <c r="N102" s="2"/>
      <c r="O102" s="2"/>
    </row>
    <row r="103" spans="12:15" ht="12" customHeight="1" x14ac:dyDescent="0.25">
      <c r="L103" s="2"/>
      <c r="M103" s="2"/>
      <c r="N103" s="2"/>
      <c r="O103" s="2"/>
    </row>
    <row r="104" spans="12:15" ht="12" customHeight="1" x14ac:dyDescent="0.25">
      <c r="L104" s="2"/>
      <c r="M104" s="2"/>
      <c r="N104" s="2"/>
      <c r="O104" s="2"/>
    </row>
    <row r="105" spans="12:15" ht="12" customHeight="1" x14ac:dyDescent="0.25">
      <c r="L105" s="2"/>
      <c r="M105" s="2"/>
      <c r="N105" s="2"/>
      <c r="O105" s="2"/>
    </row>
    <row r="106" spans="12:15" ht="12" customHeight="1" x14ac:dyDescent="0.25">
      <c r="L106" s="2"/>
      <c r="M106" s="2"/>
      <c r="N106" s="2"/>
      <c r="O106" s="2"/>
    </row>
    <row r="107" spans="12:15" ht="12" customHeight="1" x14ac:dyDescent="0.25">
      <c r="L107" s="2"/>
      <c r="M107" s="2"/>
      <c r="N107" s="2"/>
      <c r="O107" s="2"/>
    </row>
    <row r="108" spans="12:15" ht="12" customHeight="1" x14ac:dyDescent="0.25">
      <c r="L108" s="2"/>
      <c r="M108" s="2"/>
      <c r="N108" s="2"/>
      <c r="O108" s="2"/>
    </row>
    <row r="109" spans="12:15" ht="12" customHeight="1" x14ac:dyDescent="0.25">
      <c r="L109" s="2"/>
      <c r="M109" s="2"/>
      <c r="N109" s="2"/>
      <c r="O109" s="2"/>
    </row>
    <row r="110" spans="12:15" ht="12" customHeight="1" x14ac:dyDescent="0.25">
      <c r="L110" s="2"/>
      <c r="M110" s="2"/>
      <c r="N110" s="2"/>
      <c r="O110" s="2"/>
    </row>
    <row r="111" spans="12:15" ht="12" customHeight="1" x14ac:dyDescent="0.25">
      <c r="L111" s="2"/>
      <c r="M111" s="2"/>
      <c r="N111" s="2"/>
      <c r="O111" s="2"/>
    </row>
    <row r="112" spans="12:15" ht="12" customHeight="1" x14ac:dyDescent="0.25">
      <c r="L112" s="2"/>
      <c r="M112" s="2"/>
      <c r="N112" s="2"/>
      <c r="O112" s="2"/>
    </row>
    <row r="113" spans="12:15" ht="12" customHeight="1" x14ac:dyDescent="0.25">
      <c r="L113" s="2"/>
      <c r="M113" s="2"/>
      <c r="N113" s="2"/>
      <c r="O113" s="2"/>
    </row>
    <row r="114" spans="12:15" ht="12" customHeight="1" x14ac:dyDescent="0.25">
      <c r="L114" s="2"/>
      <c r="M114" s="2"/>
      <c r="N114" s="2"/>
      <c r="O114" s="2"/>
    </row>
    <row r="115" spans="12:15" ht="12" customHeight="1" x14ac:dyDescent="0.25">
      <c r="L115" s="2"/>
      <c r="M115" s="2"/>
      <c r="N115" s="2"/>
      <c r="O115" s="2"/>
    </row>
    <row r="116" spans="12:15" ht="12" customHeight="1" x14ac:dyDescent="0.25">
      <c r="L116" s="2"/>
      <c r="M116" s="2"/>
      <c r="N116" s="2"/>
      <c r="O116" s="2"/>
    </row>
    <row r="117" spans="12:15" ht="12" customHeight="1" x14ac:dyDescent="0.25">
      <c r="L117" s="2"/>
      <c r="M117" s="2"/>
      <c r="N117" s="2"/>
      <c r="O117" s="2"/>
    </row>
    <row r="118" spans="12:15" ht="12" customHeight="1" x14ac:dyDescent="0.25">
      <c r="L118" s="2"/>
      <c r="M118" s="2"/>
      <c r="N118" s="2"/>
      <c r="O118" s="2"/>
    </row>
    <row r="119" spans="12:15" ht="12" customHeight="1" x14ac:dyDescent="0.25">
      <c r="L119" s="2"/>
      <c r="M119" s="2"/>
      <c r="N119" s="2"/>
      <c r="O119" s="2"/>
    </row>
    <row r="120" spans="12:15" ht="12" customHeight="1" x14ac:dyDescent="0.25">
      <c r="L120" s="2"/>
      <c r="M120" s="2"/>
      <c r="N120" s="2"/>
      <c r="O120" s="2"/>
    </row>
    <row r="121" spans="12:15" ht="12" customHeight="1" x14ac:dyDescent="0.25">
      <c r="L121" s="2"/>
      <c r="M121" s="2"/>
      <c r="N121" s="2"/>
      <c r="O121" s="2"/>
    </row>
    <row r="122" spans="12:15" ht="12" customHeight="1" x14ac:dyDescent="0.25">
      <c r="L122" s="2"/>
      <c r="M122" s="2"/>
      <c r="N122" s="2"/>
      <c r="O122" s="2"/>
    </row>
    <row r="123" spans="12:15" ht="12" customHeight="1" x14ac:dyDescent="0.25">
      <c r="L123" s="2"/>
      <c r="M123" s="2"/>
      <c r="N123" s="2"/>
      <c r="O123" s="2"/>
    </row>
    <row r="124" spans="12:15" ht="12" customHeight="1" x14ac:dyDescent="0.25">
      <c r="L124" s="2"/>
      <c r="M124" s="2"/>
      <c r="N124" s="2"/>
      <c r="O124" s="2"/>
    </row>
    <row r="125" spans="12:15" ht="12" customHeight="1" x14ac:dyDescent="0.25">
      <c r="L125" s="2"/>
      <c r="M125" s="2"/>
      <c r="N125" s="2"/>
      <c r="O125" s="2"/>
    </row>
    <row r="126" spans="12:15" ht="12" customHeight="1" x14ac:dyDescent="0.25">
      <c r="L126" s="2"/>
      <c r="M126" s="2"/>
      <c r="N126" s="2"/>
      <c r="O126" s="2"/>
    </row>
    <row r="127" spans="12:15" ht="12" customHeight="1" x14ac:dyDescent="0.25">
      <c r="L127" s="2"/>
      <c r="M127" s="2"/>
      <c r="N127" s="2"/>
      <c r="O127" s="2"/>
    </row>
    <row r="128" spans="12:15" ht="12" customHeight="1" x14ac:dyDescent="0.25">
      <c r="L128" s="2"/>
      <c r="M128" s="2"/>
      <c r="N128" s="2"/>
      <c r="O128" s="2"/>
    </row>
    <row r="129" spans="12:15" ht="12" customHeight="1" x14ac:dyDescent="0.25">
      <c r="L129" s="2"/>
      <c r="M129" s="2"/>
      <c r="N129" s="2"/>
      <c r="O129" s="2"/>
    </row>
    <row r="130" spans="12:15" ht="12" customHeight="1" x14ac:dyDescent="0.25">
      <c r="L130" s="2"/>
      <c r="M130" s="2"/>
      <c r="N130" s="2"/>
      <c r="O130" s="2"/>
    </row>
    <row r="131" spans="12:15" ht="12" customHeight="1" x14ac:dyDescent="0.25">
      <c r="L131" s="2"/>
      <c r="M131" s="2"/>
      <c r="N131" s="2"/>
      <c r="O131" s="2"/>
    </row>
    <row r="132" spans="12:15" ht="12" customHeight="1" x14ac:dyDescent="0.25">
      <c r="L132" s="2"/>
      <c r="M132" s="2"/>
      <c r="N132" s="2"/>
      <c r="O132" s="2"/>
    </row>
    <row r="133" spans="12:15" ht="12" customHeight="1" x14ac:dyDescent="0.25">
      <c r="L133" s="2"/>
      <c r="M133" s="2"/>
      <c r="N133" s="2"/>
      <c r="O133" s="2"/>
    </row>
    <row r="134" spans="12:15" ht="12" customHeight="1" x14ac:dyDescent="0.25">
      <c r="L134" s="2"/>
      <c r="M134" s="2"/>
      <c r="N134" s="2"/>
      <c r="O134" s="2"/>
    </row>
    <row r="135" spans="12:15" ht="12" customHeight="1" x14ac:dyDescent="0.25">
      <c r="L135" s="2"/>
      <c r="M135" s="2"/>
      <c r="N135" s="2"/>
      <c r="O135" s="2"/>
    </row>
    <row r="136" spans="12:15" ht="12" customHeight="1" x14ac:dyDescent="0.25">
      <c r="L136" s="2"/>
      <c r="M136" s="2"/>
      <c r="N136" s="2"/>
      <c r="O136" s="2"/>
    </row>
    <row r="137" spans="12:15" ht="12" customHeight="1" x14ac:dyDescent="0.25">
      <c r="L137" s="2"/>
      <c r="M137" s="2"/>
      <c r="N137" s="2"/>
      <c r="O137" s="2"/>
    </row>
    <row r="138" spans="12:15" ht="12" customHeight="1" x14ac:dyDescent="0.25">
      <c r="L138" s="2"/>
      <c r="M138" s="2"/>
      <c r="N138" s="2"/>
      <c r="O138" s="2"/>
    </row>
    <row r="139" spans="12:15" ht="12" customHeight="1" x14ac:dyDescent="0.25">
      <c r="L139" s="2"/>
      <c r="M139" s="2"/>
      <c r="N139" s="2"/>
      <c r="O139" s="2"/>
    </row>
    <row r="140" spans="12:15" ht="12" customHeight="1" x14ac:dyDescent="0.25">
      <c r="L140" s="2"/>
      <c r="M140" s="2"/>
      <c r="N140" s="2"/>
      <c r="O140" s="2"/>
    </row>
    <row r="141" spans="12:15" ht="12" customHeight="1" x14ac:dyDescent="0.25">
      <c r="L141" s="2"/>
      <c r="M141" s="2"/>
      <c r="N141" s="2"/>
      <c r="O141" s="2"/>
    </row>
    <row r="142" spans="12:15" ht="12" customHeight="1" x14ac:dyDescent="0.25">
      <c r="L142" s="2"/>
      <c r="M142" s="2"/>
      <c r="N142" s="2"/>
      <c r="O142" s="2"/>
    </row>
    <row r="143" spans="12:15" ht="12" customHeight="1" x14ac:dyDescent="0.25">
      <c r="L143" s="2"/>
      <c r="M143" s="2"/>
      <c r="N143" s="2"/>
      <c r="O143" s="2"/>
    </row>
    <row r="144" spans="12:15" ht="12" customHeight="1" x14ac:dyDescent="0.25">
      <c r="L144" s="2"/>
      <c r="M144" s="2"/>
      <c r="N144" s="2"/>
      <c r="O144" s="2"/>
    </row>
    <row r="145" spans="12:15" ht="12" customHeight="1" x14ac:dyDescent="0.25">
      <c r="L145" s="2"/>
      <c r="M145" s="2"/>
      <c r="N145" s="2"/>
      <c r="O145" s="2"/>
    </row>
    <row r="146" spans="12:15" ht="12" customHeight="1" x14ac:dyDescent="0.25">
      <c r="L146" s="2"/>
      <c r="M146" s="2"/>
      <c r="N146" s="2"/>
      <c r="O146" s="2"/>
    </row>
    <row r="147" spans="12:15" ht="12" customHeight="1" x14ac:dyDescent="0.25">
      <c r="L147" s="2"/>
      <c r="M147" s="2"/>
      <c r="N147" s="2"/>
      <c r="O147" s="2"/>
    </row>
    <row r="148" spans="12:15" ht="12" customHeight="1" x14ac:dyDescent="0.25">
      <c r="L148" s="2"/>
      <c r="M148" s="2"/>
      <c r="N148" s="2"/>
      <c r="O148" s="2"/>
    </row>
    <row r="149" spans="12:15" ht="12" customHeight="1" x14ac:dyDescent="0.25">
      <c r="L149" s="2"/>
      <c r="M149" s="2"/>
      <c r="N149" s="2"/>
      <c r="O149" s="2"/>
    </row>
    <row r="150" spans="12:15" ht="12" customHeight="1" x14ac:dyDescent="0.25">
      <c r="L150" s="2"/>
      <c r="M150" s="2"/>
      <c r="N150" s="2"/>
      <c r="O150" s="2"/>
    </row>
    <row r="151" spans="12:15" ht="12" customHeight="1" x14ac:dyDescent="0.25">
      <c r="L151" s="2"/>
      <c r="M151" s="2"/>
      <c r="N151" s="2"/>
      <c r="O151" s="2"/>
    </row>
    <row r="152" spans="12:15" ht="12" customHeight="1" x14ac:dyDescent="0.25">
      <c r="L152" s="2"/>
      <c r="M152" s="2"/>
      <c r="N152" s="2"/>
      <c r="O152" s="2"/>
    </row>
    <row r="153" spans="12:15" ht="12" customHeight="1" x14ac:dyDescent="0.25">
      <c r="L153" s="2"/>
      <c r="M153" s="2"/>
      <c r="N153" s="2"/>
      <c r="O153" s="2"/>
    </row>
    <row r="154" spans="12:15" ht="12" customHeight="1" x14ac:dyDescent="0.25">
      <c r="L154" s="2"/>
      <c r="M154" s="2"/>
      <c r="N154" s="2"/>
      <c r="O154" s="2"/>
    </row>
    <row r="155" spans="12:15" ht="12" customHeight="1" x14ac:dyDescent="0.25">
      <c r="L155" s="2"/>
      <c r="M155" s="2"/>
      <c r="N155" s="2"/>
      <c r="O155" s="2"/>
    </row>
    <row r="156" spans="12:15" ht="12" customHeight="1" x14ac:dyDescent="0.25">
      <c r="L156" s="2"/>
      <c r="M156" s="2"/>
      <c r="N156" s="2"/>
      <c r="O156" s="2"/>
    </row>
    <row r="157" spans="12:15" ht="12" customHeight="1" x14ac:dyDescent="0.25">
      <c r="L157" s="2"/>
      <c r="M157" s="2"/>
      <c r="N157" s="2"/>
      <c r="O157" s="2"/>
    </row>
    <row r="158" spans="12:15" ht="12" customHeight="1" x14ac:dyDescent="0.25">
      <c r="L158" s="2"/>
      <c r="M158" s="2"/>
      <c r="N158" s="2"/>
      <c r="O158" s="2"/>
    </row>
    <row r="159" spans="12:15" ht="12" customHeight="1" x14ac:dyDescent="0.25">
      <c r="L159" s="2"/>
      <c r="M159" s="2"/>
      <c r="N159" s="2"/>
      <c r="O159" s="2"/>
    </row>
    <row r="160" spans="12:15" ht="12" customHeight="1" x14ac:dyDescent="0.25">
      <c r="L160" s="2"/>
      <c r="M160" s="2"/>
      <c r="N160" s="2"/>
      <c r="O160" s="2"/>
    </row>
    <row r="161" spans="12:15" ht="12" customHeight="1" x14ac:dyDescent="0.25">
      <c r="L161" s="2"/>
      <c r="M161" s="2"/>
      <c r="N161" s="2"/>
      <c r="O161" s="2"/>
    </row>
    <row r="162" spans="12:15" ht="12" customHeight="1" x14ac:dyDescent="0.25">
      <c r="L162" s="2"/>
      <c r="M162" s="2"/>
      <c r="N162" s="2"/>
      <c r="O162" s="2"/>
    </row>
    <row r="163" spans="12:15" ht="12" customHeight="1" x14ac:dyDescent="0.25">
      <c r="L163" s="2"/>
      <c r="M163" s="2"/>
      <c r="N163" s="2"/>
      <c r="O163" s="2"/>
    </row>
    <row r="164" spans="12:15" ht="12" customHeight="1" x14ac:dyDescent="0.25">
      <c r="L164" s="2"/>
      <c r="M164" s="2"/>
      <c r="N164" s="2"/>
      <c r="O164" s="2"/>
    </row>
    <row r="165" spans="12:15" ht="12" customHeight="1" x14ac:dyDescent="0.25">
      <c r="L165" s="2"/>
      <c r="M165" s="2"/>
      <c r="N165" s="2"/>
      <c r="O165" s="2"/>
    </row>
    <row r="166" spans="12:15" ht="12" customHeight="1" x14ac:dyDescent="0.25">
      <c r="L166" s="2"/>
      <c r="M166" s="2"/>
      <c r="N166" s="2"/>
      <c r="O166" s="2"/>
    </row>
    <row r="167" spans="12:15" ht="12" customHeight="1" x14ac:dyDescent="0.25">
      <c r="L167" s="2"/>
      <c r="M167" s="2"/>
      <c r="N167" s="2"/>
      <c r="O167" s="2"/>
    </row>
    <row r="168" spans="12:15" ht="12" customHeight="1" x14ac:dyDescent="0.25">
      <c r="L168" s="2"/>
      <c r="M168" s="2"/>
      <c r="N168" s="2"/>
      <c r="O168" s="2"/>
    </row>
    <row r="169" spans="12:15" ht="12" customHeight="1" x14ac:dyDescent="0.25">
      <c r="L169" s="2"/>
      <c r="M169" s="2"/>
      <c r="N169" s="2"/>
      <c r="O169" s="2"/>
    </row>
    <row r="170" spans="12:15" ht="12" customHeight="1" x14ac:dyDescent="0.25">
      <c r="L170" s="2"/>
      <c r="M170" s="2"/>
      <c r="N170" s="2"/>
      <c r="O170" s="2"/>
    </row>
    <row r="171" spans="12:15" ht="12" customHeight="1" x14ac:dyDescent="0.25">
      <c r="L171" s="2"/>
      <c r="M171" s="2"/>
      <c r="N171" s="2"/>
      <c r="O171" s="2"/>
    </row>
    <row r="172" spans="12:15" ht="12" customHeight="1" x14ac:dyDescent="0.25">
      <c r="L172" s="2"/>
      <c r="M172" s="2"/>
      <c r="N172" s="2"/>
      <c r="O172" s="2"/>
    </row>
    <row r="173" spans="12:15" ht="12" customHeight="1" x14ac:dyDescent="0.25">
      <c r="L173" s="2"/>
      <c r="M173" s="2"/>
      <c r="N173" s="2"/>
      <c r="O173" s="2"/>
    </row>
    <row r="174" spans="12:15" ht="12" customHeight="1" x14ac:dyDescent="0.25">
      <c r="L174" s="2"/>
      <c r="M174" s="2"/>
      <c r="N174" s="2"/>
      <c r="O174" s="2"/>
    </row>
    <row r="175" spans="12:15" ht="12" customHeight="1" x14ac:dyDescent="0.25">
      <c r="L175" s="2"/>
      <c r="M175" s="2"/>
      <c r="N175" s="2"/>
      <c r="O175" s="2"/>
    </row>
    <row r="176" spans="12:15" ht="12" customHeight="1" x14ac:dyDescent="0.25">
      <c r="L176" s="2"/>
      <c r="M176" s="2"/>
      <c r="N176" s="2"/>
      <c r="O176" s="2"/>
    </row>
    <row r="177" spans="12:15" ht="12" customHeight="1" x14ac:dyDescent="0.25">
      <c r="L177" s="2"/>
      <c r="M177" s="2"/>
      <c r="N177" s="2"/>
      <c r="O177" s="2"/>
    </row>
    <row r="178" spans="12:15" ht="12" customHeight="1" x14ac:dyDescent="0.25">
      <c r="L178" s="2"/>
      <c r="M178" s="2"/>
      <c r="N178" s="2"/>
      <c r="O178" s="2"/>
    </row>
    <row r="179" spans="12:15" ht="12" customHeight="1" x14ac:dyDescent="0.25">
      <c r="L179" s="2"/>
      <c r="M179" s="2"/>
      <c r="N179" s="2"/>
      <c r="O179" s="2"/>
    </row>
    <row r="180" spans="12:15" ht="12" customHeight="1" x14ac:dyDescent="0.25">
      <c r="L180" s="2"/>
      <c r="M180" s="2"/>
      <c r="N180" s="2"/>
      <c r="O180" s="2"/>
    </row>
    <row r="181" spans="12:15" ht="12" customHeight="1" x14ac:dyDescent="0.25">
      <c r="L181" s="2"/>
      <c r="M181" s="2"/>
      <c r="N181" s="2"/>
      <c r="O181" s="2"/>
    </row>
    <row r="182" spans="12:15" ht="12" customHeight="1" x14ac:dyDescent="0.25">
      <c r="L182" s="2"/>
      <c r="M182" s="2"/>
      <c r="N182" s="2"/>
      <c r="O182" s="2"/>
    </row>
    <row r="183" spans="12:15" ht="12" customHeight="1" x14ac:dyDescent="0.25">
      <c r="L183" s="2"/>
      <c r="M183" s="2"/>
      <c r="N183" s="2"/>
      <c r="O183" s="2"/>
    </row>
    <row r="184" spans="12:15" ht="12" customHeight="1" x14ac:dyDescent="0.25">
      <c r="L184" s="2"/>
      <c r="M184" s="2"/>
      <c r="N184" s="2"/>
      <c r="O184" s="2"/>
    </row>
    <row r="185" spans="12:15" ht="12" customHeight="1" x14ac:dyDescent="0.25">
      <c r="L185" s="2"/>
      <c r="M185" s="2"/>
      <c r="N185" s="2"/>
      <c r="O185" s="2"/>
    </row>
    <row r="186" spans="12:15" ht="12" customHeight="1" x14ac:dyDescent="0.25">
      <c r="L186" s="2"/>
      <c r="M186" s="2"/>
      <c r="N186" s="2"/>
      <c r="O186" s="2"/>
    </row>
    <row r="187" spans="12:15" ht="12" customHeight="1" x14ac:dyDescent="0.25">
      <c r="L187" s="2"/>
      <c r="M187" s="2"/>
      <c r="N187" s="2"/>
      <c r="O187" s="2"/>
    </row>
    <row r="188" spans="12:15" ht="12" customHeight="1" x14ac:dyDescent="0.25">
      <c r="L188" s="2"/>
      <c r="M188" s="2"/>
      <c r="N188" s="2"/>
      <c r="O188" s="2"/>
    </row>
    <row r="189" spans="12:15" ht="12" customHeight="1" x14ac:dyDescent="0.25">
      <c r="L189" s="2"/>
      <c r="M189" s="2"/>
      <c r="N189" s="2"/>
      <c r="O189" s="2"/>
    </row>
    <row r="190" spans="12:15" ht="12" customHeight="1" x14ac:dyDescent="0.25">
      <c r="L190" s="2"/>
      <c r="M190" s="2"/>
      <c r="N190" s="2"/>
      <c r="O190" s="2"/>
    </row>
    <row r="191" spans="12:15" ht="12" customHeight="1" x14ac:dyDescent="0.25">
      <c r="L191" s="2"/>
      <c r="M191" s="2"/>
      <c r="N191" s="2"/>
      <c r="O191" s="2"/>
    </row>
    <row r="192" spans="12:15" ht="12" customHeight="1" x14ac:dyDescent="0.25">
      <c r="L192" s="2"/>
      <c r="M192" s="2"/>
      <c r="N192" s="2"/>
      <c r="O192" s="2"/>
    </row>
    <row r="193" spans="12:15" ht="12" customHeight="1" x14ac:dyDescent="0.25">
      <c r="L193" s="2"/>
      <c r="M193" s="2"/>
      <c r="N193" s="2"/>
      <c r="O193" s="2"/>
    </row>
    <row r="194" spans="12:15" ht="12" customHeight="1" x14ac:dyDescent="0.25">
      <c r="L194" s="2"/>
      <c r="M194" s="2"/>
      <c r="N194" s="2"/>
      <c r="O194" s="2"/>
    </row>
    <row r="195" spans="12:15" ht="12" customHeight="1" x14ac:dyDescent="0.25">
      <c r="L195" s="2"/>
      <c r="M195" s="2"/>
      <c r="N195" s="2"/>
      <c r="O195" s="2"/>
    </row>
    <row r="196" spans="12:15" ht="12" customHeight="1" x14ac:dyDescent="0.25">
      <c r="L196" s="2"/>
      <c r="M196" s="2"/>
      <c r="N196" s="2"/>
      <c r="O196" s="2"/>
    </row>
    <row r="197" spans="12:15" ht="12" customHeight="1" x14ac:dyDescent="0.25">
      <c r="L197" s="2"/>
      <c r="M197" s="2"/>
      <c r="N197" s="2"/>
      <c r="O197" s="2"/>
    </row>
    <row r="198" spans="12:15" ht="12" customHeight="1" x14ac:dyDescent="0.25">
      <c r="L198" s="2"/>
      <c r="M198" s="2"/>
      <c r="N198" s="2"/>
      <c r="O198" s="2"/>
    </row>
    <row r="199" spans="12:15" ht="12" customHeight="1" x14ac:dyDescent="0.25">
      <c r="L199" s="2"/>
      <c r="M199" s="2"/>
      <c r="N199" s="2"/>
      <c r="O199" s="2"/>
    </row>
    <row r="200" spans="12:15" ht="12" customHeight="1" x14ac:dyDescent="0.25">
      <c r="L200" s="2"/>
      <c r="M200" s="2"/>
      <c r="N200" s="2"/>
      <c r="O200" s="2"/>
    </row>
    <row r="201" spans="12:15" ht="12" customHeight="1" x14ac:dyDescent="0.25">
      <c r="L201" s="2"/>
      <c r="M201" s="2"/>
      <c r="N201" s="2"/>
      <c r="O201" s="2"/>
    </row>
    <row r="202" spans="12:15" ht="12" customHeight="1" x14ac:dyDescent="0.25">
      <c r="L202" s="2"/>
      <c r="M202" s="2"/>
      <c r="N202" s="2"/>
      <c r="O202" s="2"/>
    </row>
    <row r="203" spans="12:15" ht="12" customHeight="1" x14ac:dyDescent="0.25">
      <c r="L203" s="2"/>
      <c r="M203" s="2"/>
      <c r="N203" s="2"/>
      <c r="O203" s="2"/>
    </row>
    <row r="204" spans="12:15" ht="12" customHeight="1" x14ac:dyDescent="0.25">
      <c r="L204" s="2"/>
      <c r="M204" s="2"/>
      <c r="N204" s="2"/>
      <c r="O204" s="2"/>
    </row>
    <row r="205" spans="12:15" ht="12" customHeight="1" x14ac:dyDescent="0.25">
      <c r="L205" s="2"/>
      <c r="M205" s="2"/>
      <c r="N205" s="2"/>
      <c r="O205" s="2"/>
    </row>
    <row r="206" spans="12:15" ht="12" customHeight="1" x14ac:dyDescent="0.25">
      <c r="L206" s="2"/>
      <c r="M206" s="2"/>
      <c r="N206" s="2"/>
      <c r="O206" s="2"/>
    </row>
    <row r="207" spans="12:15" ht="12" customHeight="1" x14ac:dyDescent="0.25">
      <c r="L207" s="2"/>
      <c r="M207" s="2"/>
      <c r="N207" s="2"/>
      <c r="O207" s="2"/>
    </row>
    <row r="208" spans="12:15" ht="12" customHeight="1" x14ac:dyDescent="0.25">
      <c r="L208" s="2"/>
      <c r="M208" s="2"/>
      <c r="N208" s="2"/>
      <c r="O208" s="2"/>
    </row>
    <row r="209" spans="12:15" ht="12" customHeight="1" x14ac:dyDescent="0.25">
      <c r="L209" s="2"/>
      <c r="M209" s="2"/>
      <c r="N209" s="2"/>
      <c r="O209" s="2"/>
    </row>
    <row r="210" spans="12:15" ht="12" customHeight="1" x14ac:dyDescent="0.25">
      <c r="L210" s="2"/>
      <c r="M210" s="2"/>
      <c r="N210" s="2"/>
      <c r="O210" s="2"/>
    </row>
    <row r="211" spans="12:15" ht="12" customHeight="1" x14ac:dyDescent="0.25">
      <c r="L211" s="2"/>
      <c r="M211" s="2"/>
      <c r="N211" s="2"/>
      <c r="O211" s="2"/>
    </row>
    <row r="212" spans="12:15" ht="12" customHeight="1" x14ac:dyDescent="0.25">
      <c r="L212" s="2"/>
      <c r="M212" s="2"/>
      <c r="N212" s="2"/>
      <c r="O212" s="2"/>
    </row>
    <row r="213" spans="12:15" ht="12" customHeight="1" x14ac:dyDescent="0.25">
      <c r="L213" s="2"/>
      <c r="M213" s="2"/>
      <c r="N213" s="2"/>
      <c r="O213" s="2"/>
    </row>
    <row r="214" spans="12:15" ht="12" customHeight="1" x14ac:dyDescent="0.25">
      <c r="L214" s="2"/>
      <c r="M214" s="2"/>
      <c r="N214" s="2"/>
      <c r="O214" s="2"/>
    </row>
    <row r="215" spans="12:15" ht="12" customHeight="1" x14ac:dyDescent="0.25">
      <c r="L215" s="2"/>
      <c r="M215" s="2"/>
      <c r="N215" s="2"/>
      <c r="O215" s="2"/>
    </row>
    <row r="216" spans="12:15" ht="12" customHeight="1" x14ac:dyDescent="0.25">
      <c r="L216" s="2"/>
      <c r="M216" s="2"/>
      <c r="N216" s="2"/>
      <c r="O216" s="2"/>
    </row>
    <row r="217" spans="12:15" ht="12" customHeight="1" x14ac:dyDescent="0.25">
      <c r="L217" s="2"/>
      <c r="M217" s="2"/>
      <c r="N217" s="2"/>
      <c r="O217" s="2"/>
    </row>
    <row r="218" spans="12:15" ht="12" customHeight="1" x14ac:dyDescent="0.25">
      <c r="L218" s="2"/>
      <c r="M218" s="2"/>
      <c r="N218" s="2"/>
      <c r="O218" s="2"/>
    </row>
    <row r="219" spans="12:15" ht="12" customHeight="1" x14ac:dyDescent="0.25">
      <c r="L219" s="2"/>
      <c r="M219" s="2"/>
      <c r="N219" s="2"/>
      <c r="O219" s="2"/>
    </row>
    <row r="220" spans="12:15" ht="12" customHeight="1" x14ac:dyDescent="0.25">
      <c r="L220" s="2"/>
      <c r="M220" s="2"/>
      <c r="N220" s="2"/>
      <c r="O220" s="2"/>
    </row>
    <row r="221" spans="12:15" ht="12" customHeight="1" x14ac:dyDescent="0.25">
      <c r="L221" s="2"/>
      <c r="M221" s="2"/>
      <c r="N221" s="2"/>
      <c r="O221" s="2"/>
    </row>
    <row r="222" spans="12:15" ht="12" customHeight="1" x14ac:dyDescent="0.25">
      <c r="L222" s="2"/>
      <c r="M222" s="2"/>
      <c r="N222" s="2"/>
      <c r="O222" s="2"/>
    </row>
    <row r="223" spans="12:15" ht="12" customHeight="1" x14ac:dyDescent="0.25">
      <c r="L223" s="2"/>
      <c r="M223" s="2"/>
      <c r="N223" s="2"/>
      <c r="O223" s="2"/>
    </row>
    <row r="224" spans="12:15" ht="12" customHeight="1" x14ac:dyDescent="0.25">
      <c r="L224" s="2"/>
      <c r="M224" s="2"/>
      <c r="N224" s="2"/>
      <c r="O224" s="2"/>
    </row>
    <row r="225" spans="12:15" ht="12" customHeight="1" x14ac:dyDescent="0.25">
      <c r="L225" s="2"/>
      <c r="M225" s="2"/>
      <c r="N225" s="2"/>
      <c r="O225" s="2"/>
    </row>
    <row r="226" spans="12:15" ht="12" customHeight="1" x14ac:dyDescent="0.25">
      <c r="L226" s="2"/>
      <c r="M226" s="2"/>
      <c r="N226" s="2"/>
      <c r="O226" s="2"/>
    </row>
    <row r="227" spans="12:15" ht="12" customHeight="1" x14ac:dyDescent="0.25">
      <c r="L227" s="2"/>
      <c r="M227" s="2"/>
      <c r="N227" s="2"/>
      <c r="O227" s="2"/>
    </row>
    <row r="228" spans="12:15" ht="12" customHeight="1" x14ac:dyDescent="0.25">
      <c r="L228" s="2"/>
      <c r="M228" s="2"/>
      <c r="N228" s="2"/>
      <c r="O228" s="2"/>
    </row>
    <row r="229" spans="12:15" ht="12" customHeight="1" x14ac:dyDescent="0.25">
      <c r="L229" s="2"/>
      <c r="M229" s="2"/>
      <c r="N229" s="2"/>
      <c r="O229" s="2"/>
    </row>
    <row r="230" spans="12:15" ht="12" customHeight="1" x14ac:dyDescent="0.25">
      <c r="L230" s="2"/>
      <c r="M230" s="2"/>
      <c r="N230" s="2"/>
      <c r="O230" s="2"/>
    </row>
    <row r="231" spans="12:15" ht="12" customHeight="1" x14ac:dyDescent="0.25">
      <c r="L231" s="2"/>
      <c r="M231" s="2"/>
      <c r="N231" s="2"/>
      <c r="O231" s="2"/>
    </row>
    <row r="232" spans="12:15" ht="12" customHeight="1" x14ac:dyDescent="0.25">
      <c r="L232" s="2"/>
      <c r="M232" s="2"/>
      <c r="N232" s="2"/>
      <c r="O232" s="2"/>
    </row>
    <row r="233" spans="12:15" ht="12" customHeight="1" x14ac:dyDescent="0.25">
      <c r="L233" s="2"/>
      <c r="M233" s="2"/>
      <c r="N233" s="2"/>
      <c r="O233" s="2"/>
    </row>
    <row r="234" spans="12:15" ht="12" customHeight="1" x14ac:dyDescent="0.25">
      <c r="L234" s="2"/>
      <c r="M234" s="2"/>
      <c r="N234" s="2"/>
      <c r="O234" s="2"/>
    </row>
    <row r="235" spans="12:15" ht="12" customHeight="1" x14ac:dyDescent="0.25">
      <c r="L235" s="2"/>
      <c r="M235" s="2"/>
      <c r="N235" s="2"/>
      <c r="O235" s="2"/>
    </row>
    <row r="236" spans="12:15" ht="12" customHeight="1" x14ac:dyDescent="0.25">
      <c r="L236" s="2"/>
      <c r="M236" s="2"/>
      <c r="N236" s="2"/>
      <c r="O236" s="2"/>
    </row>
    <row r="237" spans="12:15" ht="12" customHeight="1" x14ac:dyDescent="0.25">
      <c r="L237" s="2"/>
      <c r="M237" s="2"/>
      <c r="N237" s="2"/>
      <c r="O237" s="2"/>
    </row>
    <row r="238" spans="12:15" ht="12" customHeight="1" x14ac:dyDescent="0.25">
      <c r="L238" s="2"/>
      <c r="M238" s="2"/>
      <c r="N238" s="2"/>
      <c r="O238" s="2"/>
    </row>
    <row r="239" spans="12:15" ht="12" customHeight="1" x14ac:dyDescent="0.25">
      <c r="L239" s="2"/>
      <c r="M239" s="2"/>
      <c r="N239" s="2"/>
      <c r="O239" s="2"/>
    </row>
    <row r="240" spans="12:15" ht="12" customHeight="1" x14ac:dyDescent="0.25">
      <c r="L240" s="2"/>
      <c r="M240" s="2"/>
      <c r="N240" s="2"/>
      <c r="O240" s="2"/>
    </row>
    <row r="241" spans="12:15" ht="12" customHeight="1" x14ac:dyDescent="0.25">
      <c r="L241" s="2"/>
      <c r="M241" s="2"/>
      <c r="N241" s="2"/>
      <c r="O241" s="2"/>
    </row>
    <row r="242" spans="12:15" ht="12" customHeight="1" x14ac:dyDescent="0.25">
      <c r="L242" s="2"/>
      <c r="M242" s="2"/>
      <c r="N242" s="2"/>
      <c r="O242" s="2"/>
    </row>
    <row r="243" spans="12:15" ht="12" customHeight="1" x14ac:dyDescent="0.25">
      <c r="L243" s="2"/>
      <c r="M243" s="2"/>
      <c r="N243" s="2"/>
      <c r="O243" s="2"/>
    </row>
    <row r="244" spans="12:15" ht="12" customHeight="1" x14ac:dyDescent="0.25">
      <c r="L244" s="2"/>
      <c r="M244" s="2"/>
      <c r="N244" s="2"/>
      <c r="O244" s="2"/>
    </row>
    <row r="245" spans="12:15" ht="12" customHeight="1" x14ac:dyDescent="0.25">
      <c r="L245" s="2"/>
      <c r="M245" s="2"/>
      <c r="N245" s="2"/>
      <c r="O245" s="2"/>
    </row>
    <row r="246" spans="12:15" ht="12" customHeight="1" x14ac:dyDescent="0.25">
      <c r="L246" s="2"/>
      <c r="M246" s="2"/>
      <c r="N246" s="2"/>
      <c r="O246" s="2"/>
    </row>
    <row r="247" spans="12:15" ht="12" customHeight="1" x14ac:dyDescent="0.25">
      <c r="L247" s="2"/>
      <c r="M247" s="2"/>
      <c r="N247" s="2"/>
      <c r="O247" s="2"/>
    </row>
    <row r="248" spans="12:15" ht="12" customHeight="1" x14ac:dyDescent="0.25">
      <c r="L248" s="2"/>
      <c r="M248" s="2"/>
      <c r="N248" s="2"/>
      <c r="O248" s="2"/>
    </row>
    <row r="249" spans="12:15" ht="12" customHeight="1" x14ac:dyDescent="0.25">
      <c r="L249" s="2"/>
      <c r="M249" s="2"/>
      <c r="N249" s="2"/>
      <c r="O249" s="2"/>
    </row>
    <row r="250" spans="12:15" ht="12" customHeight="1" x14ac:dyDescent="0.25">
      <c r="L250" s="2"/>
      <c r="M250" s="2"/>
      <c r="N250" s="2"/>
      <c r="O250" s="2"/>
    </row>
    <row r="251" spans="12:15" ht="12" customHeight="1" x14ac:dyDescent="0.25">
      <c r="L251" s="2"/>
      <c r="M251" s="2"/>
      <c r="N251" s="2"/>
      <c r="O251" s="2"/>
    </row>
    <row r="252" spans="12:15" ht="12" customHeight="1" x14ac:dyDescent="0.25">
      <c r="L252" s="2"/>
      <c r="M252" s="2"/>
      <c r="N252" s="2"/>
      <c r="O252" s="2"/>
    </row>
    <row r="253" spans="12:15" ht="12" customHeight="1" x14ac:dyDescent="0.25">
      <c r="L253" s="2"/>
      <c r="M253" s="2"/>
      <c r="N253" s="2"/>
      <c r="O253" s="2"/>
    </row>
    <row r="254" spans="12:15" ht="12" customHeight="1" x14ac:dyDescent="0.25">
      <c r="L254" s="2"/>
      <c r="M254" s="2"/>
      <c r="N254" s="2"/>
      <c r="O254" s="2"/>
    </row>
    <row r="255" spans="12:15" ht="12" customHeight="1" x14ac:dyDescent="0.25">
      <c r="L255" s="2"/>
      <c r="M255" s="2"/>
      <c r="N255" s="2"/>
      <c r="O255" s="2"/>
    </row>
    <row r="256" spans="12:15" ht="12" customHeight="1" x14ac:dyDescent="0.25">
      <c r="L256" s="2"/>
      <c r="M256" s="2"/>
      <c r="N256" s="2"/>
      <c r="O256" s="2"/>
    </row>
    <row r="257" spans="12:15" ht="12" customHeight="1" x14ac:dyDescent="0.25">
      <c r="L257" s="2"/>
      <c r="M257" s="2"/>
      <c r="N257" s="2"/>
      <c r="O257" s="2"/>
    </row>
    <row r="258" spans="12:15" ht="12" customHeight="1" x14ac:dyDescent="0.25">
      <c r="L258" s="2"/>
      <c r="M258" s="2"/>
      <c r="N258" s="2"/>
      <c r="O258" s="2"/>
    </row>
    <row r="259" spans="12:15" ht="12" customHeight="1" x14ac:dyDescent="0.25">
      <c r="L259" s="2"/>
      <c r="M259" s="2"/>
      <c r="N259" s="2"/>
      <c r="O259" s="2"/>
    </row>
    <row r="260" spans="12:15" ht="12" customHeight="1" x14ac:dyDescent="0.25">
      <c r="L260" s="2"/>
      <c r="M260" s="2"/>
      <c r="N260" s="2"/>
      <c r="O260" s="2"/>
    </row>
    <row r="261" spans="12:15" ht="12" customHeight="1" x14ac:dyDescent="0.25">
      <c r="L261" s="2"/>
      <c r="M261" s="2"/>
      <c r="N261" s="2"/>
      <c r="O261" s="2"/>
    </row>
    <row r="262" spans="12:15" ht="12" customHeight="1" x14ac:dyDescent="0.25">
      <c r="L262" s="2"/>
      <c r="M262" s="2"/>
      <c r="N262" s="2"/>
      <c r="O262" s="2"/>
    </row>
    <row r="263" spans="12:15" ht="12" customHeight="1" x14ac:dyDescent="0.25">
      <c r="L263" s="2"/>
      <c r="M263" s="2"/>
      <c r="N263" s="2"/>
      <c r="O263" s="2"/>
    </row>
    <row r="264" spans="12:15" ht="12" customHeight="1" x14ac:dyDescent="0.25">
      <c r="L264" s="2"/>
      <c r="M264" s="2"/>
      <c r="N264" s="2"/>
      <c r="O264" s="2"/>
    </row>
    <row r="265" spans="12:15" ht="12" customHeight="1" x14ac:dyDescent="0.25">
      <c r="L265" s="2"/>
      <c r="M265" s="2"/>
      <c r="N265" s="2"/>
      <c r="O265" s="2"/>
    </row>
    <row r="266" spans="12:15" ht="12" customHeight="1" x14ac:dyDescent="0.25">
      <c r="L266" s="2"/>
      <c r="M266" s="2"/>
      <c r="N266" s="2"/>
      <c r="O266" s="2"/>
    </row>
    <row r="267" spans="12:15" ht="12" customHeight="1" x14ac:dyDescent="0.25">
      <c r="L267" s="2"/>
      <c r="M267" s="2"/>
      <c r="N267" s="2"/>
      <c r="O267" s="2"/>
    </row>
    <row r="268" spans="12:15" ht="12" customHeight="1" x14ac:dyDescent="0.25">
      <c r="L268" s="2"/>
      <c r="M268" s="2"/>
      <c r="N268" s="2"/>
      <c r="O268" s="2"/>
    </row>
    <row r="269" spans="12:15" ht="12" customHeight="1" x14ac:dyDescent="0.25">
      <c r="L269" s="2"/>
      <c r="M269" s="2"/>
      <c r="N269" s="2"/>
      <c r="O269" s="2"/>
    </row>
    <row r="270" spans="12:15" ht="12" customHeight="1" x14ac:dyDescent="0.25">
      <c r="L270" s="2"/>
      <c r="M270" s="2"/>
      <c r="N270" s="2"/>
      <c r="O270" s="2"/>
    </row>
    <row r="271" spans="12:15" ht="12" customHeight="1" x14ac:dyDescent="0.25">
      <c r="L271" s="2"/>
      <c r="M271" s="2"/>
      <c r="N271" s="2"/>
      <c r="O271" s="2"/>
    </row>
    <row r="272" spans="12:15" ht="12" customHeight="1" x14ac:dyDescent="0.25">
      <c r="L272" s="2"/>
      <c r="M272" s="2"/>
      <c r="N272" s="2"/>
      <c r="O272" s="2"/>
    </row>
    <row r="273" spans="12:15" ht="12" customHeight="1" x14ac:dyDescent="0.25">
      <c r="L273" s="2"/>
      <c r="M273" s="2"/>
      <c r="N273" s="2"/>
      <c r="O273" s="2"/>
    </row>
    <row r="274" spans="12:15" ht="12" customHeight="1" x14ac:dyDescent="0.25">
      <c r="L274" s="2"/>
      <c r="M274" s="2"/>
      <c r="N274" s="2"/>
      <c r="O274" s="2"/>
    </row>
    <row r="275" spans="12:15" ht="12" customHeight="1" x14ac:dyDescent="0.25">
      <c r="L275" s="2"/>
      <c r="M275" s="2"/>
      <c r="N275" s="2"/>
      <c r="O275" s="2"/>
    </row>
    <row r="276" spans="12:15" ht="12" customHeight="1" x14ac:dyDescent="0.25">
      <c r="L276" s="2"/>
      <c r="M276" s="2"/>
      <c r="N276" s="2"/>
      <c r="O276" s="2"/>
    </row>
    <row r="277" spans="12:15" ht="12" customHeight="1" x14ac:dyDescent="0.25">
      <c r="L277" s="2"/>
      <c r="M277" s="2"/>
      <c r="N277" s="2"/>
      <c r="O277" s="2"/>
    </row>
    <row r="278" spans="12:15" ht="12" customHeight="1" x14ac:dyDescent="0.25">
      <c r="L278" s="2"/>
      <c r="M278" s="2"/>
      <c r="N278" s="2"/>
      <c r="O278" s="2"/>
    </row>
    <row r="279" spans="12:15" ht="12" customHeight="1" x14ac:dyDescent="0.25">
      <c r="L279" s="2"/>
      <c r="M279" s="2"/>
      <c r="N279" s="2"/>
      <c r="O279" s="2"/>
    </row>
    <row r="280" spans="12:15" ht="12" customHeight="1" x14ac:dyDescent="0.25">
      <c r="L280" s="2"/>
      <c r="M280" s="2"/>
      <c r="N280" s="2"/>
      <c r="O280" s="2"/>
    </row>
    <row r="281" spans="12:15" ht="12" customHeight="1" x14ac:dyDescent="0.25">
      <c r="L281" s="2"/>
      <c r="M281" s="2"/>
      <c r="N281" s="2"/>
      <c r="O281" s="2"/>
    </row>
    <row r="282" spans="12:15" ht="12" customHeight="1" x14ac:dyDescent="0.25">
      <c r="L282" s="2"/>
      <c r="M282" s="2"/>
      <c r="N282" s="2"/>
      <c r="O282" s="2"/>
    </row>
    <row r="283" spans="12:15" ht="12" customHeight="1" x14ac:dyDescent="0.25">
      <c r="L283" s="2"/>
      <c r="M283" s="2"/>
      <c r="N283" s="2"/>
      <c r="O283" s="2"/>
    </row>
    <row r="284" spans="12:15" ht="12" customHeight="1" x14ac:dyDescent="0.25">
      <c r="L284" s="2"/>
      <c r="M284" s="2"/>
      <c r="N284" s="2"/>
      <c r="O284" s="2"/>
    </row>
    <row r="285" spans="12:15" ht="12" customHeight="1" x14ac:dyDescent="0.25">
      <c r="L285" s="2"/>
      <c r="M285" s="2"/>
      <c r="N285" s="2"/>
      <c r="O285" s="2"/>
    </row>
    <row r="286" spans="12:15" ht="12" customHeight="1" x14ac:dyDescent="0.25">
      <c r="L286" s="2"/>
      <c r="M286" s="2"/>
      <c r="N286" s="2"/>
      <c r="O286" s="2"/>
    </row>
    <row r="287" spans="12:15" ht="12" customHeight="1" x14ac:dyDescent="0.25">
      <c r="L287" s="2"/>
      <c r="M287" s="2"/>
      <c r="N287" s="2"/>
      <c r="O287" s="2"/>
    </row>
    <row r="288" spans="12:15" ht="12" customHeight="1" x14ac:dyDescent="0.25">
      <c r="L288" s="2"/>
      <c r="M288" s="2"/>
      <c r="N288" s="2"/>
      <c r="O288" s="2"/>
    </row>
    <row r="289" spans="12:15" ht="12" customHeight="1" x14ac:dyDescent="0.25">
      <c r="L289" s="2"/>
      <c r="M289" s="2"/>
      <c r="N289" s="2"/>
      <c r="O289" s="2"/>
    </row>
    <row r="290" spans="12:15" ht="12" customHeight="1" x14ac:dyDescent="0.25">
      <c r="L290" s="2"/>
      <c r="M290" s="2"/>
      <c r="N290" s="2"/>
      <c r="O290" s="2"/>
    </row>
    <row r="291" spans="12:15" ht="12" customHeight="1" x14ac:dyDescent="0.25">
      <c r="L291" s="2"/>
      <c r="M291" s="2"/>
      <c r="N291" s="2"/>
      <c r="O291" s="2"/>
    </row>
    <row r="292" spans="12:15" ht="12" customHeight="1" x14ac:dyDescent="0.25">
      <c r="L292" s="2"/>
      <c r="M292" s="2"/>
      <c r="N292" s="2"/>
      <c r="O292" s="2"/>
    </row>
    <row r="293" spans="12:15" ht="12" customHeight="1" x14ac:dyDescent="0.25">
      <c r="L293" s="2"/>
      <c r="M293" s="2"/>
      <c r="N293" s="2"/>
      <c r="O293" s="2"/>
    </row>
    <row r="294" spans="12:15" ht="12" customHeight="1" x14ac:dyDescent="0.25">
      <c r="L294" s="2"/>
      <c r="M294" s="2"/>
      <c r="N294" s="2"/>
      <c r="O294" s="2"/>
    </row>
    <row r="295" spans="12:15" ht="12" customHeight="1" x14ac:dyDescent="0.25">
      <c r="L295" s="2"/>
      <c r="M295" s="2"/>
      <c r="N295" s="2"/>
      <c r="O295" s="2"/>
    </row>
    <row r="296" spans="12:15" ht="12" customHeight="1" x14ac:dyDescent="0.25">
      <c r="L296" s="2"/>
      <c r="M296" s="2"/>
      <c r="N296" s="2"/>
      <c r="O296" s="2"/>
    </row>
    <row r="297" spans="12:15" ht="12" customHeight="1" x14ac:dyDescent="0.25">
      <c r="L297" s="2"/>
      <c r="M297" s="2"/>
      <c r="N297" s="2"/>
      <c r="O297" s="2"/>
    </row>
    <row r="298" spans="12:15" ht="12" customHeight="1" x14ac:dyDescent="0.25">
      <c r="L298" s="2"/>
      <c r="M298" s="2"/>
      <c r="N298" s="2"/>
      <c r="O298" s="2"/>
    </row>
    <row r="299" spans="12:15" ht="12" customHeight="1" x14ac:dyDescent="0.25">
      <c r="L299" s="2"/>
      <c r="M299" s="2"/>
      <c r="N299" s="2"/>
      <c r="O299" s="2"/>
    </row>
    <row r="300" spans="12:15" ht="12" customHeight="1" x14ac:dyDescent="0.25">
      <c r="L300" s="2"/>
      <c r="M300" s="2"/>
      <c r="N300" s="2"/>
      <c r="O300" s="2"/>
    </row>
    <row r="301" spans="12:15" ht="12" customHeight="1" x14ac:dyDescent="0.25">
      <c r="L301" s="2"/>
      <c r="M301" s="2"/>
      <c r="N301" s="2"/>
      <c r="O301" s="2"/>
    </row>
    <row r="302" spans="12:15" ht="12" customHeight="1" x14ac:dyDescent="0.25">
      <c r="L302" s="2"/>
      <c r="M302" s="2"/>
      <c r="N302" s="2"/>
      <c r="O302" s="2"/>
    </row>
    <row r="303" spans="12:15" ht="12" customHeight="1" x14ac:dyDescent="0.25">
      <c r="L303" s="2"/>
      <c r="M303" s="2"/>
      <c r="N303" s="2"/>
      <c r="O303" s="2"/>
    </row>
    <row r="304" spans="12:15" ht="12" customHeight="1" x14ac:dyDescent="0.25">
      <c r="L304" s="2"/>
      <c r="M304" s="2"/>
      <c r="N304" s="2"/>
      <c r="O304" s="2"/>
    </row>
    <row r="305" spans="12:15" ht="12" customHeight="1" x14ac:dyDescent="0.25">
      <c r="L305" s="2"/>
      <c r="M305" s="2"/>
      <c r="N305" s="2"/>
      <c r="O305" s="2"/>
    </row>
    <row r="306" spans="12:15" ht="12" customHeight="1" x14ac:dyDescent="0.25">
      <c r="L306" s="2"/>
      <c r="M306" s="2"/>
      <c r="N306" s="2"/>
      <c r="O306" s="2"/>
    </row>
    <row r="307" spans="12:15" ht="12" customHeight="1" x14ac:dyDescent="0.25">
      <c r="L307" s="2"/>
      <c r="M307" s="2"/>
      <c r="N307" s="2"/>
      <c r="O307" s="2"/>
    </row>
    <row r="308" spans="12:15" ht="12" customHeight="1" x14ac:dyDescent="0.25">
      <c r="L308" s="2"/>
      <c r="M308" s="2"/>
      <c r="N308" s="2"/>
      <c r="O308" s="2"/>
    </row>
    <row r="309" spans="12:15" ht="12" customHeight="1" x14ac:dyDescent="0.25">
      <c r="L309" s="2"/>
      <c r="M309" s="2"/>
      <c r="N309" s="2"/>
      <c r="O309" s="2"/>
    </row>
    <row r="310" spans="12:15" ht="12" customHeight="1" x14ac:dyDescent="0.25">
      <c r="L310" s="2"/>
      <c r="M310" s="2"/>
      <c r="N310" s="2"/>
      <c r="O310" s="2"/>
    </row>
    <row r="311" spans="12:15" ht="12" customHeight="1" x14ac:dyDescent="0.25">
      <c r="L311" s="2"/>
      <c r="M311" s="2"/>
      <c r="N311" s="2"/>
      <c r="O311" s="2"/>
    </row>
    <row r="312" spans="12:15" ht="12" customHeight="1" x14ac:dyDescent="0.25">
      <c r="L312" s="2"/>
      <c r="M312" s="2"/>
      <c r="N312" s="2"/>
      <c r="O312" s="2"/>
    </row>
    <row r="313" spans="12:15" ht="12" customHeight="1" x14ac:dyDescent="0.25">
      <c r="L313" s="2"/>
      <c r="M313" s="2"/>
      <c r="N313" s="2"/>
      <c r="O313" s="2"/>
    </row>
    <row r="314" spans="12:15" ht="12" customHeight="1" x14ac:dyDescent="0.25">
      <c r="L314" s="2"/>
      <c r="M314" s="2"/>
      <c r="N314" s="2"/>
      <c r="O314" s="2"/>
    </row>
    <row r="315" spans="12:15" ht="12" customHeight="1" x14ac:dyDescent="0.25">
      <c r="L315" s="2"/>
      <c r="M315" s="2"/>
      <c r="N315" s="2"/>
      <c r="O315" s="2"/>
    </row>
    <row r="316" spans="12:15" ht="12" customHeight="1" x14ac:dyDescent="0.25">
      <c r="L316" s="2"/>
      <c r="M316" s="2"/>
      <c r="N316" s="2"/>
      <c r="O316" s="2"/>
    </row>
    <row r="317" spans="12:15" ht="12" customHeight="1" x14ac:dyDescent="0.25">
      <c r="L317" s="2"/>
      <c r="M317" s="2"/>
      <c r="N317" s="2"/>
      <c r="O317" s="2"/>
    </row>
    <row r="318" spans="12:15" ht="12" customHeight="1" x14ac:dyDescent="0.25">
      <c r="L318" s="2"/>
      <c r="M318" s="2"/>
      <c r="N318" s="2"/>
      <c r="O318" s="2"/>
    </row>
    <row r="319" spans="12:15" ht="12" customHeight="1" x14ac:dyDescent="0.25">
      <c r="L319" s="2"/>
      <c r="M319" s="2"/>
      <c r="N319" s="2"/>
      <c r="O319" s="2"/>
    </row>
    <row r="320" spans="12:15" ht="12" customHeight="1" x14ac:dyDescent="0.25">
      <c r="L320" s="2"/>
      <c r="M320" s="2"/>
      <c r="N320" s="2"/>
      <c r="O320" s="2"/>
    </row>
    <row r="321" spans="12:15" ht="12" customHeight="1" x14ac:dyDescent="0.25">
      <c r="L321" s="2"/>
      <c r="M321" s="2"/>
      <c r="N321" s="2"/>
      <c r="O321" s="2"/>
    </row>
    <row r="322" spans="12:15" ht="12" customHeight="1" x14ac:dyDescent="0.25">
      <c r="L322" s="2"/>
      <c r="M322" s="2"/>
      <c r="N322" s="2"/>
      <c r="O322" s="2"/>
    </row>
    <row r="323" spans="12:15" ht="12" customHeight="1" x14ac:dyDescent="0.25">
      <c r="L323" s="2"/>
      <c r="M323" s="2"/>
      <c r="N323" s="2"/>
      <c r="O323" s="2"/>
    </row>
    <row r="324" spans="12:15" ht="12" customHeight="1" x14ac:dyDescent="0.25">
      <c r="L324" s="2"/>
      <c r="M324" s="2"/>
      <c r="N324" s="2"/>
      <c r="O324" s="2"/>
    </row>
    <row r="325" spans="12:15" ht="12" customHeight="1" x14ac:dyDescent="0.25">
      <c r="L325" s="2"/>
      <c r="M325" s="2"/>
      <c r="N325" s="2"/>
      <c r="O325" s="2"/>
    </row>
    <row r="326" spans="12:15" ht="12" customHeight="1" x14ac:dyDescent="0.25">
      <c r="L326" s="2"/>
      <c r="M326" s="2"/>
      <c r="N326" s="2"/>
      <c r="O326" s="2"/>
    </row>
    <row r="327" spans="12:15" ht="12" customHeight="1" x14ac:dyDescent="0.25">
      <c r="L327" s="2"/>
      <c r="M327" s="2"/>
      <c r="N327" s="2"/>
      <c r="O327" s="2"/>
    </row>
    <row r="328" spans="12:15" ht="12" customHeight="1" x14ac:dyDescent="0.25">
      <c r="L328" s="2"/>
      <c r="M328" s="2"/>
      <c r="N328" s="2"/>
      <c r="O328" s="2"/>
    </row>
    <row r="329" spans="12:15" ht="12" customHeight="1" x14ac:dyDescent="0.25">
      <c r="L329" s="2"/>
      <c r="M329" s="2"/>
      <c r="N329" s="2"/>
      <c r="O329" s="2"/>
    </row>
    <row r="330" spans="12:15" ht="12" customHeight="1" x14ac:dyDescent="0.25">
      <c r="L330" s="2"/>
      <c r="M330" s="2"/>
      <c r="N330" s="2"/>
      <c r="O330" s="2"/>
    </row>
    <row r="331" spans="12:15" ht="12" customHeight="1" x14ac:dyDescent="0.25">
      <c r="L331" s="2"/>
      <c r="M331" s="2"/>
      <c r="N331" s="2"/>
      <c r="O331" s="2"/>
    </row>
    <row r="332" spans="12:15" ht="12" customHeight="1" x14ac:dyDescent="0.25">
      <c r="L332" s="2"/>
      <c r="M332" s="2"/>
      <c r="N332" s="2"/>
      <c r="O332" s="2"/>
    </row>
    <row r="333" spans="12:15" ht="12" customHeight="1" x14ac:dyDescent="0.25">
      <c r="L333" s="2"/>
      <c r="M333" s="2"/>
      <c r="N333" s="2"/>
      <c r="O333" s="2"/>
    </row>
    <row r="334" spans="12:15" ht="12" customHeight="1" x14ac:dyDescent="0.25">
      <c r="L334" s="2"/>
      <c r="M334" s="2"/>
      <c r="N334" s="2"/>
      <c r="O334" s="2"/>
    </row>
    <row r="335" spans="12:15" ht="12" customHeight="1" x14ac:dyDescent="0.25">
      <c r="L335" s="2"/>
      <c r="M335" s="2"/>
      <c r="N335" s="2"/>
      <c r="O335" s="2"/>
    </row>
    <row r="336" spans="12:15" ht="12" customHeight="1" x14ac:dyDescent="0.25">
      <c r="L336" s="2"/>
      <c r="M336" s="2"/>
      <c r="N336" s="2"/>
      <c r="O336" s="2"/>
    </row>
    <row r="337" spans="12:15" ht="12" customHeight="1" x14ac:dyDescent="0.25">
      <c r="L337" s="2"/>
      <c r="M337" s="2"/>
      <c r="N337" s="2"/>
      <c r="O337" s="2"/>
    </row>
    <row r="338" spans="12:15" ht="12" customHeight="1" x14ac:dyDescent="0.25">
      <c r="L338" s="2"/>
      <c r="M338" s="2"/>
      <c r="N338" s="2"/>
      <c r="O338" s="2"/>
    </row>
    <row r="339" spans="12:15" ht="12" customHeight="1" x14ac:dyDescent="0.25">
      <c r="L339" s="2"/>
      <c r="M339" s="2"/>
      <c r="N339" s="2"/>
      <c r="O339" s="2"/>
    </row>
    <row r="340" spans="12:15" ht="12" customHeight="1" x14ac:dyDescent="0.25">
      <c r="L340" s="2"/>
      <c r="M340" s="2"/>
      <c r="N340" s="2"/>
      <c r="O340" s="2"/>
    </row>
    <row r="341" spans="12:15" ht="12" customHeight="1" x14ac:dyDescent="0.25">
      <c r="L341" s="2"/>
      <c r="M341" s="2"/>
      <c r="N341" s="2"/>
      <c r="O341" s="2"/>
    </row>
    <row r="342" spans="12:15" ht="12" customHeight="1" x14ac:dyDescent="0.25">
      <c r="L342" s="2"/>
      <c r="M342" s="2"/>
      <c r="N342" s="2"/>
      <c r="O342" s="2"/>
    </row>
    <row r="343" spans="12:15" ht="12" customHeight="1" x14ac:dyDescent="0.25">
      <c r="L343" s="2"/>
      <c r="M343" s="2"/>
      <c r="N343" s="2"/>
      <c r="O343" s="2"/>
    </row>
    <row r="344" spans="12:15" ht="12" customHeight="1" x14ac:dyDescent="0.25">
      <c r="L344" s="2"/>
      <c r="M344" s="2"/>
      <c r="N344" s="2"/>
      <c r="O344" s="2"/>
    </row>
    <row r="345" spans="12:15" ht="12" customHeight="1" x14ac:dyDescent="0.25">
      <c r="L345" s="2"/>
      <c r="M345" s="2"/>
      <c r="N345" s="2"/>
      <c r="O345" s="2"/>
    </row>
    <row r="346" spans="12:15" ht="12" customHeight="1" x14ac:dyDescent="0.25">
      <c r="L346" s="2"/>
      <c r="M346" s="2"/>
      <c r="N346" s="2"/>
      <c r="O346" s="2"/>
    </row>
    <row r="347" spans="12:15" ht="12" customHeight="1" x14ac:dyDescent="0.25">
      <c r="L347" s="2"/>
      <c r="M347" s="2"/>
      <c r="N347" s="2"/>
      <c r="O347" s="2"/>
    </row>
    <row r="348" spans="12:15" ht="12" customHeight="1" x14ac:dyDescent="0.25">
      <c r="L348" s="2"/>
      <c r="M348" s="2"/>
      <c r="N348" s="2"/>
      <c r="O348" s="2"/>
    </row>
    <row r="349" spans="12:15" ht="12" customHeight="1" x14ac:dyDescent="0.25">
      <c r="L349" s="2"/>
      <c r="M349" s="2"/>
      <c r="N349" s="2"/>
      <c r="O349" s="2"/>
    </row>
    <row r="350" spans="12:15" ht="12" customHeight="1" x14ac:dyDescent="0.25">
      <c r="L350" s="2"/>
      <c r="M350" s="2"/>
      <c r="N350" s="2"/>
      <c r="O350" s="2"/>
    </row>
    <row r="351" spans="12:15" ht="12" customHeight="1" x14ac:dyDescent="0.25">
      <c r="L351" s="2"/>
      <c r="M351" s="2"/>
      <c r="N351" s="2"/>
      <c r="O351" s="2"/>
    </row>
    <row r="352" spans="12:15" ht="12" customHeight="1" x14ac:dyDescent="0.25">
      <c r="L352" s="2"/>
      <c r="M352" s="2"/>
      <c r="N352" s="2"/>
      <c r="O352" s="2"/>
    </row>
    <row r="353" spans="12:15" ht="12" customHeight="1" x14ac:dyDescent="0.25">
      <c r="L353" s="2"/>
      <c r="M353" s="2"/>
      <c r="N353" s="2"/>
      <c r="O353" s="2"/>
    </row>
    <row r="354" spans="12:15" ht="12" customHeight="1" x14ac:dyDescent="0.25">
      <c r="L354" s="2"/>
      <c r="M354" s="2"/>
      <c r="N354" s="2"/>
      <c r="O354" s="2"/>
    </row>
    <row r="355" spans="12:15" ht="12" customHeight="1" x14ac:dyDescent="0.25">
      <c r="L355" s="2"/>
      <c r="M355" s="2"/>
      <c r="N355" s="2"/>
      <c r="O355" s="2"/>
    </row>
    <row r="356" spans="12:15" ht="12" customHeight="1" x14ac:dyDescent="0.25">
      <c r="L356" s="2"/>
      <c r="M356" s="2"/>
      <c r="N356" s="2"/>
      <c r="O356" s="2"/>
    </row>
    <row r="357" spans="12:15" ht="12" customHeight="1" x14ac:dyDescent="0.25">
      <c r="L357" s="2"/>
      <c r="M357" s="2"/>
      <c r="N357" s="2"/>
      <c r="O357" s="2"/>
    </row>
    <row r="358" spans="12:15" ht="12" customHeight="1" x14ac:dyDescent="0.25">
      <c r="L358" s="2"/>
      <c r="M358" s="2"/>
      <c r="N358" s="2"/>
      <c r="O358" s="2"/>
    </row>
    <row r="359" spans="12:15" ht="12" customHeight="1" x14ac:dyDescent="0.25">
      <c r="L359" s="2"/>
      <c r="M359" s="2"/>
      <c r="N359" s="2"/>
      <c r="O359" s="2"/>
    </row>
    <row r="360" spans="12:15" ht="12" customHeight="1" x14ac:dyDescent="0.25">
      <c r="L360" s="2"/>
      <c r="M360" s="2"/>
      <c r="N360" s="2"/>
      <c r="O360" s="2"/>
    </row>
    <row r="361" spans="12:15" ht="12" customHeight="1" x14ac:dyDescent="0.25">
      <c r="L361" s="2"/>
      <c r="M361" s="2"/>
      <c r="N361" s="2"/>
      <c r="O361" s="2"/>
    </row>
    <row r="362" spans="12:15" ht="12" customHeight="1" x14ac:dyDescent="0.25">
      <c r="L362" s="2"/>
      <c r="M362" s="2"/>
      <c r="N362" s="2"/>
      <c r="O362" s="2"/>
    </row>
    <row r="363" spans="12:15" ht="12" customHeight="1" x14ac:dyDescent="0.25">
      <c r="L363" s="2"/>
      <c r="M363" s="2"/>
      <c r="N363" s="2"/>
      <c r="O363" s="2"/>
    </row>
    <row r="364" spans="12:15" ht="12" customHeight="1" x14ac:dyDescent="0.25">
      <c r="L364" s="2"/>
      <c r="M364" s="2"/>
      <c r="N364" s="2"/>
      <c r="O364" s="2"/>
    </row>
    <row r="365" spans="12:15" ht="12" customHeight="1" x14ac:dyDescent="0.25">
      <c r="L365" s="2"/>
      <c r="M365" s="2"/>
      <c r="N365" s="2"/>
      <c r="O365" s="2"/>
    </row>
    <row r="366" spans="12:15" ht="12" customHeight="1" x14ac:dyDescent="0.25">
      <c r="L366" s="2"/>
      <c r="M366" s="2"/>
      <c r="N366" s="2"/>
      <c r="O366" s="2"/>
    </row>
    <row r="367" spans="12:15" ht="12" customHeight="1" x14ac:dyDescent="0.25">
      <c r="L367" s="2"/>
      <c r="M367" s="2"/>
      <c r="N367" s="2"/>
      <c r="O367" s="2"/>
    </row>
    <row r="368" spans="12:15" ht="12" customHeight="1" x14ac:dyDescent="0.25">
      <c r="L368" s="2"/>
      <c r="M368" s="2"/>
      <c r="N368" s="2"/>
      <c r="O368" s="2"/>
    </row>
    <row r="369" spans="12:15" ht="12" customHeight="1" x14ac:dyDescent="0.25">
      <c r="L369" s="2"/>
      <c r="M369" s="2"/>
      <c r="N369" s="2"/>
      <c r="O369" s="2"/>
    </row>
    <row r="370" spans="12:15" ht="12" customHeight="1" x14ac:dyDescent="0.25">
      <c r="L370" s="2"/>
      <c r="M370" s="2"/>
      <c r="N370" s="2"/>
      <c r="O370" s="2"/>
    </row>
    <row r="371" spans="12:15" ht="12" customHeight="1" x14ac:dyDescent="0.25">
      <c r="L371" s="2"/>
      <c r="M371" s="2"/>
      <c r="N371" s="2"/>
      <c r="O371" s="2"/>
    </row>
    <row r="372" spans="12:15" ht="12" customHeight="1" x14ac:dyDescent="0.25">
      <c r="L372" s="2"/>
      <c r="M372" s="2"/>
      <c r="N372" s="2"/>
      <c r="O372" s="2"/>
    </row>
    <row r="373" spans="12:15" ht="12" customHeight="1" x14ac:dyDescent="0.25">
      <c r="L373" s="2"/>
      <c r="M373" s="2"/>
      <c r="N373" s="2"/>
      <c r="O373" s="2"/>
    </row>
    <row r="374" spans="12:15" ht="12" customHeight="1" x14ac:dyDescent="0.25">
      <c r="L374" s="2"/>
      <c r="M374" s="2"/>
      <c r="N374" s="2"/>
      <c r="O374" s="2"/>
    </row>
    <row r="375" spans="12:15" ht="12" customHeight="1" x14ac:dyDescent="0.25">
      <c r="L375" s="2"/>
      <c r="M375" s="2"/>
      <c r="N375" s="2"/>
      <c r="O375" s="2"/>
    </row>
    <row r="376" spans="12:15" ht="12" customHeight="1" x14ac:dyDescent="0.25">
      <c r="L376" s="2"/>
      <c r="M376" s="2"/>
      <c r="N376" s="2"/>
      <c r="O376" s="2"/>
    </row>
    <row r="377" spans="12:15" ht="12" customHeight="1" x14ac:dyDescent="0.25">
      <c r="L377" s="2"/>
      <c r="M377" s="2"/>
      <c r="N377" s="2"/>
      <c r="O377" s="2"/>
    </row>
    <row r="378" spans="12:15" ht="12" customHeight="1" x14ac:dyDescent="0.25">
      <c r="L378" s="2"/>
      <c r="M378" s="2"/>
      <c r="N378" s="2"/>
      <c r="O378" s="2"/>
    </row>
    <row r="379" spans="12:15" ht="12" customHeight="1" x14ac:dyDescent="0.25">
      <c r="L379" s="2"/>
      <c r="M379" s="2"/>
      <c r="N379" s="2"/>
      <c r="O379" s="2"/>
    </row>
    <row r="380" spans="12:15" ht="12" customHeight="1" x14ac:dyDescent="0.25">
      <c r="L380" s="2"/>
      <c r="M380" s="2"/>
      <c r="N380" s="2"/>
      <c r="O380" s="2"/>
    </row>
    <row r="381" spans="12:15" ht="12" customHeight="1" x14ac:dyDescent="0.25">
      <c r="L381" s="2"/>
      <c r="M381" s="2"/>
      <c r="N381" s="2"/>
      <c r="O381" s="2"/>
    </row>
    <row r="382" spans="12:15" ht="12" customHeight="1" x14ac:dyDescent="0.25">
      <c r="L382" s="2"/>
      <c r="M382" s="2"/>
      <c r="N382" s="2"/>
      <c r="O382" s="2"/>
    </row>
    <row r="383" spans="12:15" ht="12" customHeight="1" x14ac:dyDescent="0.25">
      <c r="L383" s="2"/>
      <c r="M383" s="2"/>
      <c r="N383" s="2"/>
      <c r="O383" s="2"/>
    </row>
    <row r="384" spans="12:15" ht="12" customHeight="1" x14ac:dyDescent="0.25">
      <c r="L384" s="2"/>
      <c r="M384" s="2"/>
      <c r="N384" s="2"/>
      <c r="O384" s="2"/>
    </row>
    <row r="385" spans="12:15" ht="12" customHeight="1" x14ac:dyDescent="0.25">
      <c r="L385" s="2"/>
      <c r="M385" s="2"/>
      <c r="N385" s="2"/>
      <c r="O385" s="2"/>
    </row>
    <row r="386" spans="12:15" ht="12" customHeight="1" x14ac:dyDescent="0.25">
      <c r="L386" s="2"/>
      <c r="M386" s="2"/>
      <c r="N386" s="2"/>
      <c r="O386" s="2"/>
    </row>
    <row r="387" spans="12:15" ht="12" customHeight="1" x14ac:dyDescent="0.25">
      <c r="L387" s="2"/>
      <c r="M387" s="2"/>
      <c r="N387" s="2"/>
      <c r="O387" s="2"/>
    </row>
    <row r="388" spans="12:15" ht="12" customHeight="1" x14ac:dyDescent="0.25">
      <c r="L388" s="2"/>
      <c r="M388" s="2"/>
      <c r="N388" s="2"/>
      <c r="O388" s="2"/>
    </row>
    <row r="389" spans="12:15" ht="12" customHeight="1" x14ac:dyDescent="0.25">
      <c r="L389" s="2"/>
      <c r="M389" s="2"/>
      <c r="N389" s="2"/>
      <c r="O389" s="2"/>
    </row>
    <row r="390" spans="12:15" ht="12" customHeight="1" x14ac:dyDescent="0.25">
      <c r="L390" s="2"/>
      <c r="M390" s="2"/>
      <c r="N390" s="2"/>
      <c r="O390" s="2"/>
    </row>
    <row r="391" spans="12:15" ht="12" customHeight="1" x14ac:dyDescent="0.25">
      <c r="L391" s="2"/>
      <c r="M391" s="2"/>
      <c r="N391" s="2"/>
      <c r="O391" s="2"/>
    </row>
    <row r="392" spans="12:15" ht="12" customHeight="1" x14ac:dyDescent="0.25">
      <c r="L392" s="2"/>
      <c r="M392" s="2"/>
      <c r="N392" s="2"/>
      <c r="O392" s="2"/>
    </row>
    <row r="393" spans="12:15" ht="12" customHeight="1" x14ac:dyDescent="0.25">
      <c r="L393" s="2"/>
      <c r="M393" s="2"/>
      <c r="N393" s="2"/>
      <c r="O393" s="2"/>
    </row>
    <row r="394" spans="12:15" ht="12" customHeight="1" x14ac:dyDescent="0.25">
      <c r="L394" s="2"/>
      <c r="M394" s="2"/>
      <c r="N394" s="2"/>
      <c r="O394" s="2"/>
    </row>
    <row r="395" spans="12:15" ht="12" customHeight="1" x14ac:dyDescent="0.25">
      <c r="L395" s="2"/>
      <c r="M395" s="2"/>
      <c r="N395" s="2"/>
      <c r="O395" s="2"/>
    </row>
    <row r="396" spans="12:15" ht="12" customHeight="1" x14ac:dyDescent="0.25">
      <c r="L396" s="2"/>
      <c r="M396" s="2"/>
      <c r="N396" s="2"/>
      <c r="O396" s="2"/>
    </row>
    <row r="397" spans="12:15" ht="12" customHeight="1" x14ac:dyDescent="0.25">
      <c r="L397" s="2"/>
      <c r="M397" s="2"/>
      <c r="N397" s="2"/>
      <c r="O397" s="2"/>
    </row>
    <row r="398" spans="12:15" ht="12" customHeight="1" x14ac:dyDescent="0.25">
      <c r="L398" s="2"/>
      <c r="M398" s="2"/>
      <c r="N398" s="2"/>
      <c r="O398" s="2"/>
    </row>
    <row r="399" spans="12:15" ht="12" customHeight="1" x14ac:dyDescent="0.25">
      <c r="L399" s="2"/>
      <c r="M399" s="2"/>
      <c r="N399" s="2"/>
      <c r="O399" s="2"/>
    </row>
    <row r="400" spans="12:15" ht="12" customHeight="1" x14ac:dyDescent="0.25">
      <c r="L400" s="2"/>
      <c r="M400" s="2"/>
      <c r="N400" s="2"/>
      <c r="O400" s="2"/>
    </row>
    <row r="401" spans="12:15" ht="12" customHeight="1" x14ac:dyDescent="0.25">
      <c r="L401" s="2"/>
      <c r="M401" s="2"/>
      <c r="N401" s="2"/>
      <c r="O401" s="2"/>
    </row>
    <row r="402" spans="12:15" ht="12" customHeight="1" x14ac:dyDescent="0.25">
      <c r="L402" s="2"/>
      <c r="M402" s="2"/>
      <c r="N402" s="2"/>
      <c r="O402" s="2"/>
    </row>
    <row r="403" spans="12:15" ht="12" customHeight="1" x14ac:dyDescent="0.25">
      <c r="L403" s="2"/>
      <c r="M403" s="2"/>
      <c r="N403" s="2"/>
      <c r="O403" s="2"/>
    </row>
    <row r="404" spans="12:15" ht="12" customHeight="1" x14ac:dyDescent="0.25">
      <c r="L404" s="2"/>
      <c r="M404" s="2"/>
      <c r="N404" s="2"/>
      <c r="O404" s="2"/>
    </row>
    <row r="405" spans="12:15" ht="12" customHeight="1" x14ac:dyDescent="0.25">
      <c r="L405" s="2"/>
      <c r="M405" s="2"/>
      <c r="N405" s="2"/>
      <c r="O405" s="2"/>
    </row>
    <row r="406" spans="12:15" ht="12" customHeight="1" x14ac:dyDescent="0.25">
      <c r="L406" s="2"/>
      <c r="M406" s="2"/>
      <c r="N406" s="2"/>
      <c r="O406" s="2"/>
    </row>
    <row r="407" spans="12:15" ht="12" customHeight="1" x14ac:dyDescent="0.25">
      <c r="L407" s="2"/>
      <c r="M407" s="2"/>
      <c r="N407" s="2"/>
      <c r="O407" s="2"/>
    </row>
    <row r="408" spans="12:15" ht="12" customHeight="1" x14ac:dyDescent="0.25">
      <c r="L408" s="2"/>
      <c r="M408" s="2"/>
      <c r="N408" s="2"/>
      <c r="O408" s="2"/>
    </row>
    <row r="409" spans="12:15" ht="12" customHeight="1" x14ac:dyDescent="0.25">
      <c r="L409" s="2"/>
      <c r="M409" s="2"/>
      <c r="N409" s="2"/>
      <c r="O409" s="2"/>
    </row>
    <row r="410" spans="12:15" ht="12" customHeight="1" x14ac:dyDescent="0.25">
      <c r="L410" s="2"/>
      <c r="M410" s="2"/>
      <c r="N410" s="2"/>
      <c r="O410" s="2"/>
    </row>
    <row r="411" spans="12:15" ht="12" customHeight="1" x14ac:dyDescent="0.25">
      <c r="L411" s="2"/>
      <c r="M411" s="2"/>
      <c r="N411" s="2"/>
      <c r="O411" s="2"/>
    </row>
    <row r="412" spans="12:15" ht="12" customHeight="1" x14ac:dyDescent="0.25">
      <c r="L412" s="2"/>
      <c r="M412" s="2"/>
      <c r="N412" s="2"/>
      <c r="O412" s="2"/>
    </row>
    <row r="413" spans="12:15" ht="12" customHeight="1" x14ac:dyDescent="0.25">
      <c r="L413" s="2"/>
      <c r="M413" s="2"/>
      <c r="N413" s="2"/>
      <c r="O413" s="2"/>
    </row>
    <row r="414" spans="12:15" ht="12" customHeight="1" x14ac:dyDescent="0.25">
      <c r="L414" s="2"/>
      <c r="M414" s="2"/>
      <c r="N414" s="2"/>
      <c r="O414" s="2"/>
    </row>
    <row r="415" spans="12:15" ht="12" customHeight="1" x14ac:dyDescent="0.25">
      <c r="L415" s="2"/>
      <c r="M415" s="2"/>
      <c r="N415" s="2"/>
      <c r="O415" s="2"/>
    </row>
    <row r="416" spans="12:15" ht="12" customHeight="1" x14ac:dyDescent="0.25">
      <c r="L416" s="2"/>
      <c r="M416" s="2"/>
      <c r="N416" s="2"/>
      <c r="O416" s="2"/>
    </row>
    <row r="417" spans="12:15" ht="12" customHeight="1" x14ac:dyDescent="0.25">
      <c r="L417" s="2"/>
      <c r="M417" s="2"/>
      <c r="N417" s="2"/>
      <c r="O417" s="2"/>
    </row>
    <row r="418" spans="12:15" ht="12" customHeight="1" x14ac:dyDescent="0.25">
      <c r="L418" s="2"/>
      <c r="M418" s="2"/>
      <c r="N418" s="2"/>
      <c r="O418" s="2"/>
    </row>
    <row r="419" spans="12:15" ht="12" customHeight="1" x14ac:dyDescent="0.25">
      <c r="L419" s="2"/>
      <c r="M419" s="2"/>
      <c r="N419" s="2"/>
      <c r="O419" s="2"/>
    </row>
    <row r="420" spans="12:15" ht="12" customHeight="1" x14ac:dyDescent="0.25">
      <c r="L420" s="2"/>
      <c r="M420" s="2"/>
      <c r="N420" s="2"/>
      <c r="O420" s="2"/>
    </row>
    <row r="421" spans="12:15" ht="12" customHeight="1" x14ac:dyDescent="0.25">
      <c r="L421" s="2"/>
      <c r="M421" s="2"/>
      <c r="N421" s="2"/>
      <c r="O421" s="2"/>
    </row>
    <row r="422" spans="12:15" ht="12" customHeight="1" x14ac:dyDescent="0.25">
      <c r="L422" s="2"/>
      <c r="M422" s="2"/>
      <c r="N422" s="2"/>
      <c r="O422" s="2"/>
    </row>
    <row r="423" spans="12:15" ht="12" customHeight="1" x14ac:dyDescent="0.25">
      <c r="L423" s="2"/>
      <c r="M423" s="2"/>
      <c r="N423" s="2"/>
      <c r="O423" s="2"/>
    </row>
    <row r="424" spans="12:15" ht="12" customHeight="1" x14ac:dyDescent="0.25">
      <c r="L424" s="2"/>
      <c r="M424" s="2"/>
      <c r="N424" s="2"/>
      <c r="O424" s="2"/>
    </row>
    <row r="425" spans="12:15" ht="12" customHeight="1" x14ac:dyDescent="0.25">
      <c r="L425" s="2"/>
      <c r="M425" s="2"/>
      <c r="N425" s="2"/>
      <c r="O425" s="2"/>
    </row>
    <row r="426" spans="12:15" ht="12" customHeight="1" x14ac:dyDescent="0.25">
      <c r="L426" s="2"/>
      <c r="M426" s="2"/>
      <c r="N426" s="2"/>
      <c r="O426" s="2"/>
    </row>
    <row r="427" spans="12:15" ht="12" customHeight="1" x14ac:dyDescent="0.25">
      <c r="L427" s="2"/>
      <c r="M427" s="2"/>
      <c r="N427" s="2"/>
      <c r="O427" s="2"/>
    </row>
    <row r="428" spans="12:15" ht="12" customHeight="1" x14ac:dyDescent="0.25">
      <c r="L428" s="2"/>
      <c r="M428" s="2"/>
      <c r="N428" s="2"/>
      <c r="O428" s="2"/>
    </row>
    <row r="429" spans="12:15" ht="12" customHeight="1" x14ac:dyDescent="0.25">
      <c r="L429" s="2"/>
      <c r="M429" s="2"/>
      <c r="N429" s="2"/>
      <c r="O429" s="2"/>
    </row>
    <row r="430" spans="12:15" ht="12" customHeight="1" x14ac:dyDescent="0.25">
      <c r="L430" s="2"/>
      <c r="M430" s="2"/>
      <c r="N430" s="2"/>
      <c r="O430" s="2"/>
    </row>
    <row r="431" spans="12:15" ht="12" customHeight="1" x14ac:dyDescent="0.25">
      <c r="L431" s="2"/>
      <c r="M431" s="2"/>
      <c r="N431" s="2"/>
      <c r="O431" s="2"/>
    </row>
    <row r="432" spans="12:15" ht="12" customHeight="1" x14ac:dyDescent="0.25">
      <c r="L432" s="2"/>
      <c r="M432" s="2"/>
      <c r="N432" s="2"/>
      <c r="O432" s="2"/>
    </row>
    <row r="433" spans="12:15" ht="12" customHeight="1" x14ac:dyDescent="0.25">
      <c r="L433" s="2"/>
      <c r="M433" s="2"/>
      <c r="N433" s="2"/>
      <c r="O433" s="2"/>
    </row>
    <row r="434" spans="12:15" ht="12" customHeight="1" x14ac:dyDescent="0.25">
      <c r="L434" s="2"/>
      <c r="M434" s="2"/>
      <c r="N434" s="2"/>
      <c r="O434" s="2"/>
    </row>
    <row r="435" spans="12:15" ht="12" customHeight="1" x14ac:dyDescent="0.25">
      <c r="L435" s="2"/>
      <c r="M435" s="2"/>
      <c r="N435" s="2"/>
      <c r="O435" s="2"/>
    </row>
    <row r="436" spans="12:15" ht="12" customHeight="1" x14ac:dyDescent="0.25">
      <c r="L436" s="2"/>
      <c r="M436" s="2"/>
      <c r="N436" s="2"/>
      <c r="O436" s="2"/>
    </row>
    <row r="437" spans="12:15" ht="12" customHeight="1" x14ac:dyDescent="0.25">
      <c r="L437" s="2"/>
      <c r="M437" s="2"/>
      <c r="N437" s="2"/>
      <c r="O437" s="2"/>
    </row>
    <row r="438" spans="12:15" ht="12" customHeight="1" x14ac:dyDescent="0.25">
      <c r="L438" s="2"/>
      <c r="M438" s="2"/>
      <c r="N438" s="2"/>
      <c r="O438" s="2"/>
    </row>
    <row r="439" spans="12:15" ht="12" customHeight="1" x14ac:dyDescent="0.25">
      <c r="L439" s="2"/>
      <c r="M439" s="2"/>
      <c r="N439" s="2"/>
      <c r="O439" s="2"/>
    </row>
    <row r="440" spans="12:15" ht="12" customHeight="1" x14ac:dyDescent="0.25">
      <c r="L440" s="2"/>
      <c r="M440" s="2"/>
      <c r="N440" s="2"/>
      <c r="O440" s="2"/>
    </row>
    <row r="441" spans="12:15" ht="12" customHeight="1" x14ac:dyDescent="0.25">
      <c r="L441" s="2"/>
      <c r="M441" s="2"/>
      <c r="N441" s="2"/>
      <c r="O441" s="2"/>
    </row>
    <row r="442" spans="12:15" ht="12" customHeight="1" x14ac:dyDescent="0.25">
      <c r="L442" s="2"/>
      <c r="M442" s="2"/>
      <c r="N442" s="2"/>
      <c r="O442" s="2"/>
    </row>
    <row r="443" spans="12:15" ht="12" customHeight="1" x14ac:dyDescent="0.25">
      <c r="L443" s="2"/>
      <c r="M443" s="2"/>
      <c r="N443" s="2"/>
      <c r="O443" s="2"/>
    </row>
    <row r="444" spans="12:15" ht="12" customHeight="1" x14ac:dyDescent="0.25">
      <c r="L444" s="2"/>
      <c r="M444" s="2"/>
      <c r="N444" s="2"/>
      <c r="O444" s="2"/>
    </row>
    <row r="445" spans="12:15" ht="12" customHeight="1" x14ac:dyDescent="0.25">
      <c r="L445" s="2"/>
      <c r="M445" s="2"/>
      <c r="N445" s="2"/>
      <c r="O445" s="2"/>
    </row>
    <row r="446" spans="12:15" ht="12" customHeight="1" x14ac:dyDescent="0.25">
      <c r="L446" s="2"/>
      <c r="M446" s="2"/>
      <c r="N446" s="2"/>
      <c r="O446" s="2"/>
    </row>
    <row r="447" spans="12:15" ht="12" customHeight="1" x14ac:dyDescent="0.25">
      <c r="L447" s="2"/>
      <c r="M447" s="2"/>
      <c r="N447" s="2"/>
      <c r="O447" s="2"/>
    </row>
    <row r="448" spans="12:15" ht="12" customHeight="1" x14ac:dyDescent="0.25">
      <c r="L448" s="2"/>
      <c r="M448" s="2"/>
      <c r="N448" s="2"/>
      <c r="O448" s="2"/>
    </row>
    <row r="449" spans="12:15" ht="12" customHeight="1" x14ac:dyDescent="0.25">
      <c r="L449" s="2"/>
      <c r="M449" s="2"/>
      <c r="N449" s="2"/>
      <c r="O449" s="2"/>
    </row>
    <row r="450" spans="12:15" ht="12" customHeight="1" x14ac:dyDescent="0.25">
      <c r="L450" s="2"/>
      <c r="M450" s="2"/>
      <c r="N450" s="2"/>
      <c r="O450" s="2"/>
    </row>
    <row r="451" spans="12:15" ht="12" customHeight="1" x14ac:dyDescent="0.25">
      <c r="L451" s="2"/>
      <c r="M451" s="2"/>
      <c r="N451" s="2"/>
      <c r="O451" s="2"/>
    </row>
    <row r="452" spans="12:15" ht="12" customHeight="1" x14ac:dyDescent="0.25">
      <c r="L452" s="2"/>
      <c r="M452" s="2"/>
      <c r="N452" s="2"/>
      <c r="O452" s="2"/>
    </row>
    <row r="453" spans="12:15" ht="12" customHeight="1" x14ac:dyDescent="0.25">
      <c r="L453" s="2"/>
      <c r="M453" s="2"/>
      <c r="N453" s="2"/>
      <c r="O453" s="2"/>
    </row>
    <row r="454" spans="12:15" ht="12" customHeight="1" x14ac:dyDescent="0.25">
      <c r="L454" s="2"/>
      <c r="M454" s="2"/>
      <c r="N454" s="2"/>
      <c r="O454" s="2"/>
    </row>
    <row r="455" spans="12:15" ht="12" customHeight="1" x14ac:dyDescent="0.25">
      <c r="L455" s="2"/>
      <c r="M455" s="2"/>
      <c r="N455" s="2"/>
      <c r="O455" s="2"/>
    </row>
    <row r="456" spans="12:15" ht="12" customHeight="1" x14ac:dyDescent="0.25">
      <c r="L456" s="2"/>
      <c r="M456" s="2"/>
      <c r="N456" s="2"/>
      <c r="O456" s="2"/>
    </row>
    <row r="457" spans="12:15" ht="12" customHeight="1" x14ac:dyDescent="0.25">
      <c r="L457" s="2"/>
      <c r="M457" s="2"/>
      <c r="N457" s="2"/>
      <c r="O457" s="2"/>
    </row>
    <row r="458" spans="12:15" ht="12" customHeight="1" x14ac:dyDescent="0.25">
      <c r="L458" s="2"/>
      <c r="M458" s="2"/>
      <c r="N458" s="2"/>
      <c r="O458" s="2"/>
    </row>
    <row r="459" spans="12:15" ht="12" customHeight="1" x14ac:dyDescent="0.25">
      <c r="L459" s="2"/>
      <c r="M459" s="2"/>
      <c r="N459" s="2"/>
      <c r="O459" s="2"/>
    </row>
    <row r="460" spans="12:15" ht="12" customHeight="1" x14ac:dyDescent="0.25">
      <c r="L460" s="2"/>
      <c r="M460" s="2"/>
      <c r="N460" s="2"/>
      <c r="O460" s="2"/>
    </row>
    <row r="461" spans="12:15" ht="12" customHeight="1" x14ac:dyDescent="0.25">
      <c r="L461" s="2"/>
      <c r="M461" s="2"/>
      <c r="N461" s="2"/>
      <c r="O461" s="2"/>
    </row>
    <row r="462" spans="12:15" ht="12" customHeight="1" x14ac:dyDescent="0.25">
      <c r="L462" s="2"/>
      <c r="M462" s="2"/>
      <c r="N462" s="2"/>
      <c r="O462" s="2"/>
    </row>
    <row r="463" spans="12:15" ht="12" customHeight="1" x14ac:dyDescent="0.25">
      <c r="L463" s="2"/>
      <c r="M463" s="2"/>
      <c r="N463" s="2"/>
      <c r="O463" s="2"/>
    </row>
    <row r="464" spans="12:15" ht="12" customHeight="1" x14ac:dyDescent="0.25">
      <c r="L464" s="2"/>
      <c r="M464" s="2"/>
      <c r="N464" s="2"/>
      <c r="O464" s="2"/>
    </row>
    <row r="465" spans="12:15" ht="12" customHeight="1" x14ac:dyDescent="0.25">
      <c r="L465" s="2"/>
      <c r="M465" s="2"/>
      <c r="N465" s="2"/>
      <c r="O465" s="2"/>
    </row>
    <row r="466" spans="12:15" ht="12" customHeight="1" x14ac:dyDescent="0.25">
      <c r="L466" s="2"/>
      <c r="M466" s="2"/>
      <c r="N466" s="2"/>
      <c r="O466" s="2"/>
    </row>
    <row r="467" spans="12:15" ht="12" customHeight="1" x14ac:dyDescent="0.25">
      <c r="L467" s="2"/>
      <c r="M467" s="2"/>
      <c r="N467" s="2"/>
      <c r="O467" s="2"/>
    </row>
    <row r="468" spans="12:15" ht="12" customHeight="1" x14ac:dyDescent="0.25">
      <c r="L468" s="2"/>
      <c r="M468" s="2"/>
      <c r="N468" s="2"/>
      <c r="O468" s="2"/>
    </row>
    <row r="469" spans="12:15" ht="12" customHeight="1" x14ac:dyDescent="0.25">
      <c r="L469" s="2"/>
      <c r="M469" s="2"/>
      <c r="N469" s="2"/>
      <c r="O469" s="2"/>
    </row>
    <row r="470" spans="12:15" ht="12" customHeight="1" x14ac:dyDescent="0.25">
      <c r="L470" s="2"/>
      <c r="M470" s="2"/>
      <c r="N470" s="2"/>
      <c r="O470" s="2"/>
    </row>
    <row r="471" spans="12:15" ht="12" customHeight="1" x14ac:dyDescent="0.25">
      <c r="L471" s="2"/>
      <c r="M471" s="2"/>
      <c r="N471" s="2"/>
      <c r="O471" s="2"/>
    </row>
    <row r="472" spans="12:15" ht="12" customHeight="1" x14ac:dyDescent="0.25">
      <c r="L472" s="2"/>
      <c r="M472" s="2"/>
      <c r="N472" s="2"/>
      <c r="O472" s="2"/>
    </row>
    <row r="473" spans="12:15" ht="12" customHeight="1" x14ac:dyDescent="0.25">
      <c r="L473" s="2"/>
      <c r="M473" s="2"/>
      <c r="N473" s="2"/>
      <c r="O473" s="2"/>
    </row>
    <row r="474" spans="12:15" ht="12" customHeight="1" x14ac:dyDescent="0.25">
      <c r="L474" s="2"/>
      <c r="M474" s="2"/>
      <c r="N474" s="2"/>
      <c r="O474" s="2"/>
    </row>
    <row r="475" spans="12:15" ht="12" customHeight="1" x14ac:dyDescent="0.25">
      <c r="L475" s="2"/>
      <c r="M475" s="2"/>
      <c r="N475" s="2"/>
      <c r="O475" s="2"/>
    </row>
    <row r="476" spans="12:15" ht="12" customHeight="1" x14ac:dyDescent="0.25">
      <c r="L476" s="2"/>
      <c r="M476" s="2"/>
      <c r="N476" s="2"/>
      <c r="O476" s="2"/>
    </row>
    <row r="477" spans="12:15" ht="12" customHeight="1" x14ac:dyDescent="0.25">
      <c r="L477" s="2"/>
      <c r="M477" s="2"/>
      <c r="N477" s="2"/>
      <c r="O477" s="2"/>
    </row>
    <row r="478" spans="12:15" ht="12" customHeight="1" x14ac:dyDescent="0.25">
      <c r="L478" s="2"/>
      <c r="M478" s="2"/>
      <c r="N478" s="2"/>
      <c r="O478" s="2"/>
    </row>
    <row r="479" spans="12:15" ht="12" customHeight="1" x14ac:dyDescent="0.25">
      <c r="L479" s="2"/>
      <c r="M479" s="2"/>
      <c r="N479" s="2"/>
      <c r="O479" s="2"/>
    </row>
    <row r="480" spans="12:15" ht="12" customHeight="1" x14ac:dyDescent="0.25">
      <c r="L480" s="2"/>
      <c r="M480" s="2"/>
      <c r="N480" s="2"/>
      <c r="O480" s="2"/>
    </row>
    <row r="481" spans="12:15" ht="12" customHeight="1" x14ac:dyDescent="0.25">
      <c r="L481" s="2"/>
      <c r="M481" s="2"/>
      <c r="N481" s="2"/>
      <c r="O481" s="2"/>
    </row>
    <row r="482" spans="12:15" ht="12" customHeight="1" x14ac:dyDescent="0.25">
      <c r="L482" s="2"/>
      <c r="M482" s="2"/>
      <c r="N482" s="2"/>
      <c r="O482" s="2"/>
    </row>
    <row r="483" spans="12:15" ht="12" customHeight="1" x14ac:dyDescent="0.25">
      <c r="L483" s="2"/>
      <c r="M483" s="2"/>
      <c r="N483" s="2"/>
      <c r="O483" s="2"/>
    </row>
    <row r="484" spans="12:15" ht="12" customHeight="1" x14ac:dyDescent="0.25">
      <c r="L484" s="2"/>
      <c r="M484" s="2"/>
      <c r="N484" s="2"/>
      <c r="O484" s="2"/>
    </row>
    <row r="485" spans="12:15" ht="12" customHeight="1" x14ac:dyDescent="0.25">
      <c r="L485" s="2"/>
      <c r="M485" s="2"/>
      <c r="N485" s="2"/>
      <c r="O485" s="2"/>
    </row>
    <row r="486" spans="12:15" ht="12" customHeight="1" x14ac:dyDescent="0.25">
      <c r="L486" s="2"/>
      <c r="M486" s="2"/>
      <c r="N486" s="2"/>
      <c r="O486" s="2"/>
    </row>
    <row r="487" spans="12:15" ht="12" customHeight="1" x14ac:dyDescent="0.25">
      <c r="L487" s="2"/>
      <c r="M487" s="2"/>
      <c r="N487" s="2"/>
      <c r="O487" s="2"/>
    </row>
    <row r="488" spans="12:15" ht="12" customHeight="1" x14ac:dyDescent="0.25">
      <c r="L488" s="2"/>
      <c r="M488" s="2"/>
      <c r="N488" s="2"/>
      <c r="O488" s="2"/>
    </row>
    <row r="489" spans="12:15" ht="12" customHeight="1" x14ac:dyDescent="0.25">
      <c r="L489" s="2"/>
      <c r="M489" s="2"/>
      <c r="N489" s="2"/>
      <c r="O489" s="2"/>
    </row>
    <row r="490" spans="12:15" ht="12" customHeight="1" x14ac:dyDescent="0.25">
      <c r="L490" s="2"/>
      <c r="M490" s="2"/>
      <c r="N490" s="2"/>
      <c r="O490" s="2"/>
    </row>
    <row r="491" spans="12:15" ht="12" customHeight="1" x14ac:dyDescent="0.25">
      <c r="L491" s="2"/>
      <c r="M491" s="2"/>
      <c r="N491" s="2"/>
      <c r="O491" s="2"/>
    </row>
    <row r="492" spans="12:15" ht="12" customHeight="1" x14ac:dyDescent="0.25">
      <c r="L492" s="2"/>
      <c r="M492" s="2"/>
      <c r="N492" s="2"/>
      <c r="O492" s="2"/>
    </row>
    <row r="493" spans="12:15" ht="12" customHeight="1" x14ac:dyDescent="0.25">
      <c r="L493" s="2"/>
      <c r="M493" s="2"/>
      <c r="N493" s="2"/>
      <c r="O493" s="2"/>
    </row>
    <row r="494" spans="12:15" ht="12" customHeight="1" x14ac:dyDescent="0.25">
      <c r="L494" s="2"/>
      <c r="M494" s="2"/>
      <c r="N494" s="2"/>
      <c r="O494" s="2"/>
    </row>
    <row r="495" spans="12:15" ht="12" customHeight="1" x14ac:dyDescent="0.25">
      <c r="L495" s="2"/>
      <c r="M495" s="2"/>
      <c r="N495" s="2"/>
      <c r="O495" s="2"/>
    </row>
    <row r="496" spans="12:15" ht="12" customHeight="1" x14ac:dyDescent="0.25">
      <c r="L496" s="2"/>
      <c r="M496" s="2"/>
      <c r="N496" s="2"/>
      <c r="O496" s="2"/>
    </row>
    <row r="497" spans="12:15" ht="12" customHeight="1" x14ac:dyDescent="0.25">
      <c r="L497" s="2"/>
      <c r="M497" s="2"/>
      <c r="N497" s="2"/>
      <c r="O497" s="2"/>
    </row>
    <row r="498" spans="12:15" ht="12" customHeight="1" x14ac:dyDescent="0.25">
      <c r="L498" s="2"/>
      <c r="M498" s="2"/>
      <c r="N498" s="2"/>
      <c r="O498" s="2"/>
    </row>
    <row r="499" spans="12:15" ht="12" customHeight="1" x14ac:dyDescent="0.25">
      <c r="L499" s="2"/>
      <c r="M499" s="2"/>
      <c r="N499" s="2"/>
      <c r="O499" s="2"/>
    </row>
    <row r="500" spans="12:15" ht="12" customHeight="1" x14ac:dyDescent="0.25">
      <c r="L500" s="2"/>
      <c r="M500" s="2"/>
      <c r="N500" s="2"/>
      <c r="O500" s="2"/>
    </row>
    <row r="501" spans="12:15" ht="12" customHeight="1" x14ac:dyDescent="0.25">
      <c r="L501" s="2"/>
      <c r="M501" s="2"/>
      <c r="N501" s="2"/>
      <c r="O501" s="2"/>
    </row>
    <row r="502" spans="12:15" ht="12" customHeight="1" x14ac:dyDescent="0.25">
      <c r="L502" s="2"/>
      <c r="M502" s="2"/>
      <c r="N502" s="2"/>
      <c r="O502" s="2"/>
    </row>
    <row r="503" spans="12:15" ht="12" customHeight="1" x14ac:dyDescent="0.25">
      <c r="L503" s="2"/>
      <c r="M503" s="2"/>
      <c r="N503" s="2"/>
      <c r="O503" s="2"/>
    </row>
    <row r="504" spans="12:15" ht="12" customHeight="1" x14ac:dyDescent="0.25">
      <c r="L504" s="2"/>
      <c r="M504" s="2"/>
      <c r="N504" s="2"/>
      <c r="O504" s="2"/>
    </row>
    <row r="505" spans="12:15" ht="12" customHeight="1" x14ac:dyDescent="0.25">
      <c r="L505" s="2"/>
      <c r="M505" s="2"/>
      <c r="N505" s="2"/>
      <c r="O505" s="2"/>
    </row>
    <row r="506" spans="12:15" ht="12" customHeight="1" x14ac:dyDescent="0.25">
      <c r="L506" s="2"/>
      <c r="M506" s="2"/>
      <c r="N506" s="2"/>
      <c r="O506" s="2"/>
    </row>
    <row r="507" spans="12:15" ht="12" customHeight="1" x14ac:dyDescent="0.25">
      <c r="L507" s="2"/>
      <c r="M507" s="2"/>
      <c r="N507" s="2"/>
      <c r="O507" s="2"/>
    </row>
    <row r="508" spans="12:15" ht="12" customHeight="1" x14ac:dyDescent="0.25">
      <c r="L508" s="2"/>
      <c r="M508" s="2"/>
      <c r="N508" s="2"/>
      <c r="O508" s="2"/>
    </row>
    <row r="509" spans="12:15" ht="12" customHeight="1" x14ac:dyDescent="0.25">
      <c r="L509" s="2"/>
      <c r="M509" s="2"/>
      <c r="N509" s="2"/>
      <c r="O509" s="2"/>
    </row>
    <row r="510" spans="12:15" ht="12" customHeight="1" x14ac:dyDescent="0.25">
      <c r="L510" s="2"/>
      <c r="M510" s="2"/>
      <c r="N510" s="2"/>
      <c r="O510" s="2"/>
    </row>
    <row r="511" spans="12:15" ht="12" customHeight="1" x14ac:dyDescent="0.25">
      <c r="L511" s="2"/>
      <c r="M511" s="2"/>
      <c r="N511" s="2"/>
      <c r="O511" s="2"/>
    </row>
    <row r="512" spans="12:15" ht="12" customHeight="1" x14ac:dyDescent="0.25">
      <c r="L512" s="2"/>
      <c r="M512" s="2"/>
      <c r="N512" s="2"/>
      <c r="O512" s="2"/>
    </row>
    <row r="513" spans="12:15" ht="12" customHeight="1" x14ac:dyDescent="0.25">
      <c r="L513" s="2"/>
      <c r="M513" s="2"/>
      <c r="N513" s="2"/>
      <c r="O513" s="2"/>
    </row>
    <row r="514" spans="12:15" ht="12" customHeight="1" x14ac:dyDescent="0.25">
      <c r="L514" s="2"/>
      <c r="M514" s="2"/>
      <c r="N514" s="2"/>
      <c r="O514" s="2"/>
    </row>
    <row r="515" spans="12:15" ht="12" customHeight="1" x14ac:dyDescent="0.25">
      <c r="L515" s="2"/>
      <c r="M515" s="2"/>
      <c r="N515" s="2"/>
      <c r="O515" s="2"/>
    </row>
    <row r="516" spans="12:15" ht="12" customHeight="1" x14ac:dyDescent="0.25">
      <c r="L516" s="2"/>
      <c r="M516" s="2"/>
      <c r="N516" s="2"/>
      <c r="O516" s="2"/>
    </row>
    <row r="517" spans="12:15" ht="12" customHeight="1" x14ac:dyDescent="0.25">
      <c r="L517" s="2"/>
      <c r="M517" s="2"/>
      <c r="N517" s="2"/>
      <c r="O517" s="2"/>
    </row>
    <row r="518" spans="12:15" ht="12" customHeight="1" x14ac:dyDescent="0.25">
      <c r="L518" s="2"/>
      <c r="M518" s="2"/>
      <c r="N518" s="2"/>
      <c r="O518" s="2"/>
    </row>
    <row r="519" spans="12:15" ht="12" customHeight="1" x14ac:dyDescent="0.25">
      <c r="L519" s="2"/>
      <c r="M519" s="2"/>
      <c r="N519" s="2"/>
      <c r="O519" s="2"/>
    </row>
    <row r="520" spans="12:15" ht="12" customHeight="1" x14ac:dyDescent="0.25">
      <c r="L520" s="2"/>
      <c r="M520" s="2"/>
      <c r="N520" s="2"/>
      <c r="O520" s="2"/>
    </row>
    <row r="521" spans="12:15" ht="12" customHeight="1" x14ac:dyDescent="0.25">
      <c r="L521" s="2"/>
      <c r="M521" s="2"/>
      <c r="N521" s="2"/>
      <c r="O521" s="2"/>
    </row>
    <row r="522" spans="12:15" ht="12" customHeight="1" x14ac:dyDescent="0.25">
      <c r="L522" s="2"/>
      <c r="M522" s="2"/>
      <c r="N522" s="2"/>
      <c r="O522" s="2"/>
    </row>
    <row r="523" spans="12:15" ht="12" customHeight="1" x14ac:dyDescent="0.25">
      <c r="L523" s="2"/>
      <c r="M523" s="2"/>
      <c r="N523" s="2"/>
      <c r="O523" s="2"/>
    </row>
    <row r="524" spans="12:15" ht="12" customHeight="1" x14ac:dyDescent="0.25">
      <c r="L524" s="2"/>
      <c r="M524" s="2"/>
      <c r="N524" s="2"/>
      <c r="O524" s="2"/>
    </row>
    <row r="525" spans="12:15" ht="12" customHeight="1" x14ac:dyDescent="0.25">
      <c r="L525" s="2"/>
      <c r="M525" s="2"/>
      <c r="N525" s="2"/>
      <c r="O525" s="2"/>
    </row>
    <row r="526" spans="12:15" ht="12" customHeight="1" x14ac:dyDescent="0.25">
      <c r="L526" s="2"/>
      <c r="M526" s="2"/>
      <c r="N526" s="2"/>
      <c r="O526" s="2"/>
    </row>
    <row r="527" spans="12:15" ht="12" customHeight="1" x14ac:dyDescent="0.25">
      <c r="L527" s="2"/>
      <c r="M527" s="2"/>
      <c r="N527" s="2"/>
      <c r="O527" s="2"/>
    </row>
    <row r="528" spans="12:15" ht="12" customHeight="1" x14ac:dyDescent="0.25">
      <c r="L528" s="2"/>
      <c r="M528" s="2"/>
      <c r="N528" s="2"/>
      <c r="O528" s="2"/>
    </row>
    <row r="529" spans="12:15" ht="12" customHeight="1" x14ac:dyDescent="0.25">
      <c r="L529" s="2"/>
      <c r="M529" s="2"/>
      <c r="N529" s="2"/>
      <c r="O529" s="2"/>
    </row>
    <row r="530" spans="12:15" ht="12" customHeight="1" x14ac:dyDescent="0.25">
      <c r="L530" s="2"/>
      <c r="M530" s="2"/>
      <c r="N530" s="2"/>
      <c r="O530" s="2"/>
    </row>
    <row r="531" spans="12:15" ht="12" customHeight="1" x14ac:dyDescent="0.25">
      <c r="L531" s="2"/>
      <c r="M531" s="2"/>
      <c r="N531" s="2"/>
      <c r="O531" s="2"/>
    </row>
    <row r="532" spans="12:15" ht="12" customHeight="1" x14ac:dyDescent="0.25">
      <c r="L532" s="2"/>
      <c r="M532" s="2"/>
      <c r="N532" s="2"/>
      <c r="O532" s="2"/>
    </row>
    <row r="533" spans="12:15" ht="12" customHeight="1" x14ac:dyDescent="0.25">
      <c r="L533" s="2"/>
      <c r="M533" s="2"/>
      <c r="N533" s="2"/>
      <c r="O533" s="2"/>
    </row>
    <row r="534" spans="12:15" ht="12" customHeight="1" x14ac:dyDescent="0.25">
      <c r="L534" s="2"/>
      <c r="M534" s="2"/>
      <c r="N534" s="2"/>
      <c r="O534" s="2"/>
    </row>
    <row r="535" spans="12:15" ht="12" customHeight="1" x14ac:dyDescent="0.25">
      <c r="L535" s="2"/>
      <c r="M535" s="2"/>
      <c r="N535" s="2"/>
      <c r="O535" s="2"/>
    </row>
    <row r="536" spans="12:15" ht="12" customHeight="1" x14ac:dyDescent="0.25">
      <c r="L536" s="2"/>
      <c r="M536" s="2"/>
      <c r="N536" s="2"/>
      <c r="O536" s="2"/>
    </row>
    <row r="537" spans="12:15" ht="12" customHeight="1" x14ac:dyDescent="0.25">
      <c r="L537" s="2"/>
      <c r="M537" s="2"/>
      <c r="N537" s="2"/>
      <c r="O537" s="2"/>
    </row>
    <row r="538" spans="12:15" ht="12" customHeight="1" x14ac:dyDescent="0.25">
      <c r="L538" s="2"/>
      <c r="M538" s="2"/>
      <c r="N538" s="2"/>
      <c r="O538" s="2"/>
    </row>
    <row r="539" spans="12:15" ht="12" customHeight="1" x14ac:dyDescent="0.25">
      <c r="L539" s="2"/>
      <c r="M539" s="2"/>
      <c r="N539" s="2"/>
      <c r="O539" s="2"/>
    </row>
    <row r="540" spans="12:15" ht="12" customHeight="1" x14ac:dyDescent="0.25">
      <c r="L540" s="2"/>
      <c r="M540" s="2"/>
      <c r="N540" s="2"/>
      <c r="O540" s="2"/>
    </row>
    <row r="541" spans="12:15" ht="12" customHeight="1" x14ac:dyDescent="0.25">
      <c r="L541" s="2"/>
      <c r="M541" s="2"/>
      <c r="N541" s="2"/>
      <c r="O541" s="2"/>
    </row>
    <row r="542" spans="12:15" ht="12" customHeight="1" x14ac:dyDescent="0.25">
      <c r="L542" s="2"/>
      <c r="M542" s="2"/>
      <c r="N542" s="2"/>
      <c r="O542" s="2"/>
    </row>
    <row r="543" spans="12:15" ht="12" customHeight="1" x14ac:dyDescent="0.25">
      <c r="L543" s="2"/>
      <c r="M543" s="2"/>
      <c r="N543" s="2"/>
      <c r="O543" s="2"/>
    </row>
    <row r="544" spans="12:15" ht="12" customHeight="1" x14ac:dyDescent="0.25">
      <c r="L544" s="2"/>
      <c r="M544" s="2"/>
      <c r="N544" s="2"/>
      <c r="O544" s="2"/>
    </row>
    <row r="545" spans="12:15" ht="12" customHeight="1" x14ac:dyDescent="0.25">
      <c r="L545" s="2"/>
      <c r="M545" s="2"/>
      <c r="N545" s="2"/>
      <c r="O545" s="2"/>
    </row>
    <row r="546" spans="12:15" ht="12" customHeight="1" x14ac:dyDescent="0.25">
      <c r="L546" s="2"/>
      <c r="M546" s="2"/>
      <c r="N546" s="2"/>
      <c r="O546" s="2"/>
    </row>
    <row r="547" spans="12:15" ht="12" customHeight="1" x14ac:dyDescent="0.25">
      <c r="L547" s="2"/>
      <c r="M547" s="2"/>
      <c r="N547" s="2"/>
      <c r="O547" s="2"/>
    </row>
    <row r="548" spans="12:15" ht="12" customHeight="1" x14ac:dyDescent="0.25">
      <c r="L548" s="2"/>
      <c r="M548" s="2"/>
      <c r="N548" s="2"/>
      <c r="O548" s="2"/>
    </row>
    <row r="549" spans="12:15" ht="12" customHeight="1" x14ac:dyDescent="0.25">
      <c r="L549" s="2"/>
      <c r="M549" s="2"/>
      <c r="N549" s="2"/>
      <c r="O549" s="2"/>
    </row>
    <row r="550" spans="12:15" ht="12" customHeight="1" x14ac:dyDescent="0.25">
      <c r="L550" s="2"/>
      <c r="M550" s="2"/>
      <c r="N550" s="2"/>
      <c r="O550" s="2"/>
    </row>
    <row r="551" spans="12:15" ht="12" customHeight="1" x14ac:dyDescent="0.25">
      <c r="L551" s="2"/>
      <c r="M551" s="2"/>
      <c r="N551" s="2"/>
      <c r="O551" s="2"/>
    </row>
    <row r="552" spans="12:15" ht="12" customHeight="1" x14ac:dyDescent="0.25">
      <c r="L552" s="2"/>
      <c r="M552" s="2"/>
      <c r="N552" s="2"/>
      <c r="O552" s="2"/>
    </row>
    <row r="553" spans="12:15" ht="12" customHeight="1" x14ac:dyDescent="0.25">
      <c r="L553" s="2"/>
      <c r="M553" s="2"/>
      <c r="N553" s="2"/>
      <c r="O553" s="2"/>
    </row>
    <row r="554" spans="12:15" ht="12" customHeight="1" x14ac:dyDescent="0.25">
      <c r="L554" s="2"/>
      <c r="M554" s="2"/>
      <c r="N554" s="2"/>
      <c r="O554" s="2"/>
    </row>
    <row r="555" spans="12:15" ht="12" customHeight="1" x14ac:dyDescent="0.25">
      <c r="L555" s="2"/>
      <c r="M555" s="2"/>
      <c r="N555" s="2"/>
      <c r="O555" s="2"/>
    </row>
    <row r="556" spans="12:15" ht="12" customHeight="1" x14ac:dyDescent="0.25">
      <c r="L556" s="2"/>
      <c r="M556" s="2"/>
      <c r="N556" s="2"/>
      <c r="O556" s="2"/>
    </row>
    <row r="557" spans="12:15" ht="12" customHeight="1" x14ac:dyDescent="0.25">
      <c r="L557" s="2"/>
      <c r="M557" s="2"/>
      <c r="N557" s="2"/>
      <c r="O557" s="2"/>
    </row>
    <row r="558" spans="12:15" ht="12" customHeight="1" x14ac:dyDescent="0.25">
      <c r="L558" s="2"/>
      <c r="M558" s="2"/>
      <c r="N558" s="2"/>
      <c r="O558" s="2"/>
    </row>
    <row r="559" spans="12:15" ht="12" customHeight="1" x14ac:dyDescent="0.25">
      <c r="L559" s="2"/>
      <c r="M559" s="2"/>
      <c r="N559" s="2"/>
      <c r="O559" s="2"/>
    </row>
    <row r="560" spans="12:15" ht="12" customHeight="1" x14ac:dyDescent="0.25">
      <c r="L560" s="2"/>
      <c r="M560" s="2"/>
      <c r="N560" s="2"/>
      <c r="O560" s="2"/>
    </row>
    <row r="561" spans="12:15" ht="12" customHeight="1" x14ac:dyDescent="0.25">
      <c r="L561" s="2"/>
      <c r="M561" s="2"/>
      <c r="N561" s="2"/>
      <c r="O561" s="2"/>
    </row>
    <row r="562" spans="12:15" ht="12" customHeight="1" x14ac:dyDescent="0.25">
      <c r="L562" s="2"/>
      <c r="M562" s="2"/>
      <c r="N562" s="2"/>
      <c r="O562" s="2"/>
    </row>
    <row r="563" spans="12:15" ht="12" customHeight="1" x14ac:dyDescent="0.25">
      <c r="L563" s="2"/>
      <c r="M563" s="2"/>
      <c r="N563" s="2"/>
      <c r="O563" s="2"/>
    </row>
    <row r="564" spans="12:15" ht="12" customHeight="1" x14ac:dyDescent="0.25">
      <c r="L564" s="2"/>
      <c r="M564" s="2"/>
      <c r="N564" s="2"/>
      <c r="O564" s="2"/>
    </row>
    <row r="565" spans="12:15" ht="12" customHeight="1" x14ac:dyDescent="0.25">
      <c r="L565" s="2"/>
      <c r="M565" s="2"/>
      <c r="N565" s="2"/>
      <c r="O565" s="2"/>
    </row>
    <row r="566" spans="12:15" ht="12" customHeight="1" x14ac:dyDescent="0.25">
      <c r="L566" s="2"/>
      <c r="M566" s="2"/>
      <c r="N566" s="2"/>
      <c r="O566" s="2"/>
    </row>
    <row r="567" spans="12:15" ht="12" customHeight="1" x14ac:dyDescent="0.25">
      <c r="L567" s="2"/>
      <c r="M567" s="2"/>
      <c r="N567" s="2"/>
      <c r="O567" s="2"/>
    </row>
    <row r="568" spans="12:15" ht="12" customHeight="1" x14ac:dyDescent="0.25">
      <c r="L568" s="2"/>
      <c r="M568" s="2"/>
      <c r="N568" s="2"/>
      <c r="O568" s="2"/>
    </row>
    <row r="569" spans="12:15" ht="12" customHeight="1" x14ac:dyDescent="0.25">
      <c r="L569" s="2"/>
      <c r="M569" s="2"/>
      <c r="N569" s="2"/>
      <c r="O569" s="2"/>
    </row>
    <row r="570" spans="12:15" ht="12" customHeight="1" x14ac:dyDescent="0.25">
      <c r="L570" s="2"/>
      <c r="M570" s="2"/>
      <c r="N570" s="2"/>
      <c r="O570" s="2"/>
    </row>
    <row r="571" spans="12:15" ht="12" customHeight="1" x14ac:dyDescent="0.25">
      <c r="L571" s="2"/>
      <c r="M571" s="2"/>
      <c r="N571" s="2"/>
      <c r="O571" s="2"/>
    </row>
    <row r="572" spans="12:15" ht="12" customHeight="1" x14ac:dyDescent="0.25">
      <c r="L572" s="2"/>
      <c r="M572" s="2"/>
      <c r="N572" s="2"/>
      <c r="O572" s="2"/>
    </row>
    <row r="573" spans="12:15" ht="12" customHeight="1" x14ac:dyDescent="0.25">
      <c r="L573" s="2"/>
      <c r="M573" s="2"/>
      <c r="N573" s="2"/>
      <c r="O573" s="2"/>
    </row>
    <row r="574" spans="12:15" ht="12" customHeight="1" x14ac:dyDescent="0.25">
      <c r="L574" s="2"/>
      <c r="M574" s="2"/>
      <c r="N574" s="2"/>
      <c r="O574" s="2"/>
    </row>
    <row r="575" spans="12:15" ht="12" customHeight="1" x14ac:dyDescent="0.25">
      <c r="L575" s="2"/>
      <c r="M575" s="2"/>
      <c r="N575" s="2"/>
      <c r="O575" s="2"/>
    </row>
    <row r="576" spans="12:15" ht="12" customHeight="1" x14ac:dyDescent="0.25">
      <c r="L576" s="2"/>
      <c r="M576" s="2"/>
      <c r="N576" s="2"/>
      <c r="O576" s="2"/>
    </row>
    <row r="577" spans="12:15" ht="12" customHeight="1" x14ac:dyDescent="0.25">
      <c r="L577" s="2"/>
      <c r="M577" s="2"/>
      <c r="N577" s="2"/>
      <c r="O577" s="2"/>
    </row>
    <row r="578" spans="12:15" ht="12" customHeight="1" x14ac:dyDescent="0.25">
      <c r="L578" s="2"/>
      <c r="M578" s="2"/>
      <c r="N578" s="2"/>
      <c r="O578" s="2"/>
    </row>
    <row r="579" spans="12:15" ht="12" customHeight="1" x14ac:dyDescent="0.25">
      <c r="L579" s="2"/>
      <c r="M579" s="2"/>
      <c r="N579" s="2"/>
      <c r="O579" s="2"/>
    </row>
    <row r="580" spans="12:15" ht="12" customHeight="1" x14ac:dyDescent="0.25">
      <c r="L580" s="2"/>
      <c r="M580" s="2"/>
      <c r="N580" s="2"/>
      <c r="O580" s="2"/>
    </row>
    <row r="581" spans="12:15" ht="12" customHeight="1" x14ac:dyDescent="0.25">
      <c r="L581" s="2"/>
      <c r="M581" s="2"/>
      <c r="N581" s="2"/>
      <c r="O581" s="2"/>
    </row>
    <row r="582" spans="12:15" ht="12" customHeight="1" x14ac:dyDescent="0.25">
      <c r="L582" s="2"/>
      <c r="M582" s="2"/>
      <c r="N582" s="2"/>
      <c r="O582" s="2"/>
    </row>
    <row r="583" spans="12:15" ht="12" customHeight="1" x14ac:dyDescent="0.25">
      <c r="L583" s="2"/>
      <c r="M583" s="2"/>
      <c r="N583" s="2"/>
      <c r="O583" s="2"/>
    </row>
    <row r="584" spans="12:15" ht="12" customHeight="1" x14ac:dyDescent="0.25">
      <c r="L584" s="2"/>
      <c r="M584" s="2"/>
      <c r="N584" s="2"/>
      <c r="O584" s="2"/>
    </row>
    <row r="585" spans="12:15" ht="12" customHeight="1" x14ac:dyDescent="0.25">
      <c r="L585" s="2"/>
      <c r="M585" s="2"/>
      <c r="N585" s="2"/>
      <c r="O585" s="2"/>
    </row>
    <row r="586" spans="12:15" ht="12" customHeight="1" x14ac:dyDescent="0.25">
      <c r="L586" s="2"/>
      <c r="M586" s="2"/>
      <c r="N586" s="2"/>
      <c r="O586" s="2"/>
    </row>
    <row r="587" spans="12:15" ht="12" customHeight="1" x14ac:dyDescent="0.25">
      <c r="L587" s="2"/>
      <c r="M587" s="2"/>
      <c r="N587" s="2"/>
      <c r="O587" s="2"/>
    </row>
    <row r="588" spans="12:15" ht="12" customHeight="1" x14ac:dyDescent="0.25">
      <c r="L588" s="2"/>
      <c r="M588" s="2"/>
      <c r="N588" s="2"/>
      <c r="O588" s="2"/>
    </row>
    <row r="589" spans="12:15" ht="12" customHeight="1" x14ac:dyDescent="0.25">
      <c r="L589" s="2"/>
      <c r="M589" s="2"/>
      <c r="N589" s="2"/>
      <c r="O589" s="2"/>
    </row>
    <row r="590" spans="12:15" ht="12" customHeight="1" x14ac:dyDescent="0.25">
      <c r="L590" s="2"/>
      <c r="M590" s="2"/>
      <c r="N590" s="2"/>
      <c r="O590" s="2"/>
    </row>
    <row r="591" spans="12:15" ht="12" customHeight="1" x14ac:dyDescent="0.25">
      <c r="L591" s="2"/>
      <c r="M591" s="2"/>
      <c r="N591" s="2"/>
      <c r="O591" s="2"/>
    </row>
    <row r="592" spans="12:15" ht="12" customHeight="1" x14ac:dyDescent="0.25">
      <c r="L592" s="2"/>
      <c r="M592" s="2"/>
      <c r="N592" s="2"/>
      <c r="O592" s="2"/>
    </row>
    <row r="593" spans="12:15" ht="12" customHeight="1" x14ac:dyDescent="0.25">
      <c r="L593" s="2"/>
      <c r="M593" s="2"/>
      <c r="N593" s="2"/>
      <c r="O593" s="2"/>
    </row>
    <row r="594" spans="12:15" ht="12" customHeight="1" x14ac:dyDescent="0.25">
      <c r="L594" s="2"/>
      <c r="M594" s="2"/>
      <c r="N594" s="2"/>
      <c r="O594" s="2"/>
    </row>
    <row r="595" spans="12:15" ht="12" customHeight="1" x14ac:dyDescent="0.25">
      <c r="L595" s="2"/>
      <c r="M595" s="2"/>
      <c r="N595" s="2"/>
      <c r="O595" s="2"/>
    </row>
    <row r="596" spans="12:15" ht="12" customHeight="1" x14ac:dyDescent="0.25">
      <c r="L596" s="2"/>
      <c r="M596" s="2"/>
      <c r="N596" s="2"/>
      <c r="O596" s="2"/>
    </row>
    <row r="597" spans="12:15" ht="12" customHeight="1" x14ac:dyDescent="0.25">
      <c r="L597" s="2"/>
      <c r="M597" s="2"/>
      <c r="N597" s="2"/>
      <c r="O597" s="2"/>
    </row>
    <row r="598" spans="12:15" ht="12" customHeight="1" x14ac:dyDescent="0.25">
      <c r="L598" s="2"/>
      <c r="M598" s="2"/>
      <c r="N598" s="2"/>
      <c r="O598" s="2"/>
    </row>
    <row r="599" spans="12:15" ht="12" customHeight="1" x14ac:dyDescent="0.25">
      <c r="L599" s="2"/>
      <c r="M599" s="2"/>
      <c r="N599" s="2"/>
      <c r="O599" s="2"/>
    </row>
    <row r="600" spans="12:15" ht="12" customHeight="1" x14ac:dyDescent="0.25">
      <c r="L600" s="2"/>
      <c r="M600" s="2"/>
      <c r="N600" s="2"/>
      <c r="O600" s="2"/>
    </row>
    <row r="601" spans="12:15" ht="12" customHeight="1" x14ac:dyDescent="0.25">
      <c r="L601" s="2"/>
      <c r="M601" s="2"/>
      <c r="N601" s="2"/>
      <c r="O601" s="2"/>
    </row>
    <row r="602" spans="12:15" ht="12" customHeight="1" x14ac:dyDescent="0.25">
      <c r="L602" s="2"/>
      <c r="M602" s="2"/>
      <c r="N602" s="2"/>
      <c r="O602" s="2"/>
    </row>
    <row r="603" spans="12:15" ht="12" customHeight="1" x14ac:dyDescent="0.25">
      <c r="L603" s="2"/>
      <c r="M603" s="2"/>
      <c r="N603" s="2"/>
      <c r="O603" s="2"/>
    </row>
    <row r="604" spans="12:15" ht="12" customHeight="1" x14ac:dyDescent="0.25">
      <c r="L604" s="2"/>
      <c r="M604" s="2"/>
      <c r="N604" s="2"/>
      <c r="O604" s="2"/>
    </row>
    <row r="605" spans="12:15" ht="12" customHeight="1" x14ac:dyDescent="0.25">
      <c r="L605" s="2"/>
      <c r="M605" s="2"/>
      <c r="N605" s="2"/>
      <c r="O605" s="2"/>
    </row>
    <row r="606" spans="12:15" ht="12" customHeight="1" x14ac:dyDescent="0.25">
      <c r="L606" s="2"/>
      <c r="M606" s="2"/>
      <c r="N606" s="2"/>
      <c r="O606" s="2"/>
    </row>
    <row r="607" spans="12:15" ht="12" customHeight="1" x14ac:dyDescent="0.25">
      <c r="L607" s="2"/>
      <c r="M607" s="2"/>
      <c r="N607" s="2"/>
      <c r="O607" s="2"/>
    </row>
    <row r="608" spans="12:15" ht="12" customHeight="1" x14ac:dyDescent="0.25">
      <c r="L608" s="2"/>
      <c r="M608" s="2"/>
      <c r="N608" s="2"/>
      <c r="O608" s="2"/>
    </row>
    <row r="609" spans="12:15" ht="12" customHeight="1" x14ac:dyDescent="0.25">
      <c r="L609" s="2"/>
      <c r="M609" s="2"/>
      <c r="N609" s="2"/>
      <c r="O609" s="2"/>
    </row>
    <row r="610" spans="12:15" ht="12" customHeight="1" x14ac:dyDescent="0.25">
      <c r="L610" s="2"/>
      <c r="M610" s="2"/>
      <c r="N610" s="2"/>
      <c r="O610" s="2"/>
    </row>
    <row r="611" spans="12:15" ht="12" customHeight="1" x14ac:dyDescent="0.25">
      <c r="L611" s="2"/>
      <c r="M611" s="2"/>
      <c r="N611" s="2"/>
      <c r="O611" s="2"/>
    </row>
    <row r="612" spans="12:15" ht="12" customHeight="1" x14ac:dyDescent="0.25">
      <c r="L612" s="2"/>
      <c r="M612" s="2"/>
      <c r="N612" s="2"/>
      <c r="O612" s="2"/>
    </row>
    <row r="613" spans="12:15" ht="12" customHeight="1" x14ac:dyDescent="0.25">
      <c r="L613" s="2"/>
      <c r="M613" s="2"/>
      <c r="N613" s="2"/>
      <c r="O613" s="2"/>
    </row>
    <row r="614" spans="12:15" ht="12" customHeight="1" x14ac:dyDescent="0.25">
      <c r="L614" s="2"/>
      <c r="M614" s="2"/>
      <c r="N614" s="2"/>
      <c r="O614" s="2"/>
    </row>
    <row r="615" spans="12:15" ht="12" customHeight="1" x14ac:dyDescent="0.25">
      <c r="L615" s="2"/>
      <c r="M615" s="2"/>
      <c r="N615" s="2"/>
      <c r="O615" s="2"/>
    </row>
    <row r="616" spans="12:15" ht="12" customHeight="1" x14ac:dyDescent="0.25">
      <c r="L616" s="2"/>
      <c r="M616" s="2"/>
      <c r="N616" s="2"/>
      <c r="O616" s="2"/>
    </row>
    <row r="617" spans="12:15" ht="12" customHeight="1" x14ac:dyDescent="0.25">
      <c r="L617" s="2"/>
      <c r="M617" s="2"/>
      <c r="N617" s="2"/>
      <c r="O617" s="2"/>
    </row>
    <row r="618" spans="12:15" ht="12" customHeight="1" x14ac:dyDescent="0.25">
      <c r="L618" s="2"/>
      <c r="M618" s="2"/>
      <c r="N618" s="2"/>
      <c r="O618" s="2"/>
    </row>
    <row r="619" spans="12:15" ht="12" customHeight="1" x14ac:dyDescent="0.25">
      <c r="L619" s="2"/>
      <c r="M619" s="2"/>
      <c r="N619" s="2"/>
      <c r="O619" s="2"/>
    </row>
    <row r="620" spans="12:15" ht="12" customHeight="1" x14ac:dyDescent="0.25">
      <c r="L620" s="2"/>
      <c r="M620" s="2"/>
      <c r="N620" s="2"/>
      <c r="O620" s="2"/>
    </row>
    <row r="621" spans="12:15" ht="12" customHeight="1" x14ac:dyDescent="0.25">
      <c r="L621" s="2"/>
      <c r="M621" s="2"/>
      <c r="N621" s="2"/>
      <c r="O621" s="2"/>
    </row>
    <row r="622" spans="12:15" ht="12" customHeight="1" x14ac:dyDescent="0.25">
      <c r="L622" s="2"/>
      <c r="M622" s="2"/>
      <c r="N622" s="2"/>
      <c r="O622" s="2"/>
    </row>
    <row r="623" spans="12:15" ht="12" customHeight="1" x14ac:dyDescent="0.25">
      <c r="L623" s="2"/>
      <c r="M623" s="2"/>
      <c r="N623" s="2"/>
      <c r="O623" s="2"/>
    </row>
    <row r="624" spans="12:15" ht="12" customHeight="1" x14ac:dyDescent="0.25">
      <c r="L624" s="2"/>
      <c r="M624" s="2"/>
      <c r="N624" s="2"/>
      <c r="O624" s="2"/>
    </row>
    <row r="625" spans="12:15" ht="12" customHeight="1" x14ac:dyDescent="0.25">
      <c r="L625" s="2"/>
      <c r="M625" s="2"/>
      <c r="N625" s="2"/>
      <c r="O625" s="2"/>
    </row>
    <row r="626" spans="12:15" ht="12" customHeight="1" x14ac:dyDescent="0.25">
      <c r="L626" s="2"/>
      <c r="M626" s="2"/>
      <c r="N626" s="2"/>
      <c r="O626" s="2"/>
    </row>
    <row r="627" spans="12:15" ht="12" customHeight="1" x14ac:dyDescent="0.25">
      <c r="L627" s="2"/>
      <c r="M627" s="2"/>
      <c r="N627" s="2"/>
      <c r="O627" s="2"/>
    </row>
    <row r="628" spans="12:15" ht="12" customHeight="1" x14ac:dyDescent="0.25">
      <c r="L628" s="2"/>
      <c r="M628" s="2"/>
      <c r="N628" s="2"/>
      <c r="O628" s="2"/>
    </row>
    <row r="629" spans="12:15" ht="12" customHeight="1" x14ac:dyDescent="0.25">
      <c r="L629" s="2"/>
      <c r="M629" s="2"/>
      <c r="N629" s="2"/>
      <c r="O629" s="2"/>
    </row>
    <row r="630" spans="12:15" ht="12" customHeight="1" x14ac:dyDescent="0.25">
      <c r="L630" s="2"/>
      <c r="M630" s="2"/>
      <c r="N630" s="2"/>
      <c r="O630" s="2"/>
    </row>
    <row r="631" spans="12:15" ht="12" customHeight="1" x14ac:dyDescent="0.25">
      <c r="L631" s="2"/>
      <c r="M631" s="2"/>
      <c r="N631" s="2"/>
      <c r="O631" s="2"/>
    </row>
    <row r="632" spans="12:15" ht="12" customHeight="1" x14ac:dyDescent="0.25">
      <c r="L632" s="2"/>
      <c r="M632" s="2"/>
      <c r="N632" s="2"/>
      <c r="O632" s="2"/>
    </row>
    <row r="633" spans="12:15" ht="12" customHeight="1" x14ac:dyDescent="0.25">
      <c r="L633" s="2"/>
      <c r="M633" s="2"/>
      <c r="N633" s="2"/>
      <c r="O633" s="2"/>
    </row>
    <row r="634" spans="12:15" ht="12" customHeight="1" x14ac:dyDescent="0.25">
      <c r="L634" s="2"/>
      <c r="M634" s="2"/>
      <c r="N634" s="2"/>
      <c r="O634" s="2"/>
    </row>
    <row r="635" spans="12:15" ht="12" customHeight="1" x14ac:dyDescent="0.25">
      <c r="L635" s="2"/>
      <c r="M635" s="2"/>
      <c r="N635" s="2"/>
      <c r="O635" s="2"/>
    </row>
    <row r="636" spans="12:15" ht="12" customHeight="1" x14ac:dyDescent="0.25">
      <c r="L636" s="2"/>
      <c r="M636" s="2"/>
      <c r="N636" s="2"/>
      <c r="O636" s="2"/>
    </row>
    <row r="637" spans="12:15" ht="12" customHeight="1" x14ac:dyDescent="0.25">
      <c r="L637" s="2"/>
      <c r="M637" s="2"/>
      <c r="N637" s="2"/>
      <c r="O637" s="2"/>
    </row>
    <row r="638" spans="12:15" ht="12" customHeight="1" x14ac:dyDescent="0.25">
      <c r="L638" s="2"/>
      <c r="M638" s="2"/>
      <c r="N638" s="2"/>
      <c r="O638" s="2"/>
    </row>
    <row r="639" spans="12:15" ht="12" customHeight="1" x14ac:dyDescent="0.25">
      <c r="L639" s="2"/>
      <c r="M639" s="2"/>
      <c r="N639" s="2"/>
      <c r="O639" s="2"/>
    </row>
    <row r="640" spans="12:15" ht="12" customHeight="1" x14ac:dyDescent="0.25">
      <c r="L640" s="2"/>
      <c r="M640" s="2"/>
      <c r="N640" s="2"/>
      <c r="O640" s="2"/>
    </row>
    <row r="641" spans="12:15" ht="12" customHeight="1" x14ac:dyDescent="0.25">
      <c r="L641" s="2"/>
      <c r="M641" s="2"/>
      <c r="N641" s="2"/>
      <c r="O641" s="2"/>
    </row>
    <row r="642" spans="12:15" ht="12" customHeight="1" x14ac:dyDescent="0.25">
      <c r="L642" s="2"/>
      <c r="M642" s="2"/>
      <c r="N642" s="2"/>
      <c r="O642" s="2"/>
    </row>
    <row r="643" spans="12:15" ht="12" customHeight="1" x14ac:dyDescent="0.25">
      <c r="L643" s="2"/>
      <c r="M643" s="2"/>
      <c r="N643" s="2"/>
      <c r="O643" s="2"/>
    </row>
    <row r="644" spans="12:15" ht="12" customHeight="1" x14ac:dyDescent="0.25">
      <c r="L644" s="2"/>
      <c r="M644" s="2"/>
      <c r="N644" s="2"/>
      <c r="O644" s="2"/>
    </row>
    <row r="645" spans="12:15" ht="12" customHeight="1" x14ac:dyDescent="0.25">
      <c r="L645" s="2"/>
      <c r="M645" s="2"/>
      <c r="N645" s="2"/>
      <c r="O645" s="2"/>
    </row>
    <row r="646" spans="12:15" ht="12" customHeight="1" x14ac:dyDescent="0.25">
      <c r="L646" s="2"/>
      <c r="M646" s="2"/>
      <c r="N646" s="2"/>
      <c r="O646" s="2"/>
    </row>
    <row r="647" spans="12:15" ht="12" customHeight="1" x14ac:dyDescent="0.25">
      <c r="L647" s="2"/>
      <c r="M647" s="2"/>
      <c r="N647" s="2"/>
      <c r="O647" s="2"/>
    </row>
    <row r="648" spans="12:15" ht="12" customHeight="1" x14ac:dyDescent="0.25">
      <c r="L648" s="2"/>
      <c r="M648" s="2"/>
      <c r="N648" s="2"/>
      <c r="O648" s="2"/>
    </row>
    <row r="649" spans="12:15" ht="12" customHeight="1" x14ac:dyDescent="0.25">
      <c r="L649" s="2"/>
      <c r="M649" s="2"/>
      <c r="N649" s="2"/>
      <c r="O649" s="2"/>
    </row>
    <row r="650" spans="12:15" ht="12" customHeight="1" x14ac:dyDescent="0.25">
      <c r="L650" s="2"/>
      <c r="M650" s="2"/>
      <c r="N650" s="2"/>
      <c r="O650" s="2"/>
    </row>
    <row r="651" spans="12:15" ht="12" customHeight="1" x14ac:dyDescent="0.25">
      <c r="L651" s="2"/>
      <c r="M651" s="2"/>
      <c r="N651" s="2"/>
      <c r="O651" s="2"/>
    </row>
    <row r="652" spans="12:15" ht="12" customHeight="1" x14ac:dyDescent="0.25">
      <c r="L652" s="2"/>
      <c r="M652" s="2"/>
      <c r="N652" s="2"/>
      <c r="O652" s="2"/>
    </row>
    <row r="653" spans="12:15" ht="12" customHeight="1" x14ac:dyDescent="0.25">
      <c r="L653" s="2"/>
      <c r="M653" s="2"/>
      <c r="N653" s="2"/>
      <c r="O653" s="2"/>
    </row>
    <row r="654" spans="12:15" ht="12" customHeight="1" x14ac:dyDescent="0.25">
      <c r="L654" s="2"/>
      <c r="M654" s="2"/>
      <c r="N654" s="2"/>
      <c r="O654" s="2"/>
    </row>
    <row r="655" spans="12:15" ht="12" customHeight="1" x14ac:dyDescent="0.25">
      <c r="L655" s="2"/>
      <c r="M655" s="2"/>
      <c r="N655" s="2"/>
      <c r="O655" s="2"/>
    </row>
    <row r="656" spans="12:15" ht="12" customHeight="1" x14ac:dyDescent="0.25">
      <c r="L656" s="2"/>
      <c r="M656" s="2"/>
      <c r="N656" s="2"/>
      <c r="O656" s="2"/>
    </row>
    <row r="657" spans="12:15" ht="12" customHeight="1" x14ac:dyDescent="0.25">
      <c r="L657" s="2"/>
      <c r="M657" s="2"/>
      <c r="N657" s="2"/>
      <c r="O657" s="2"/>
    </row>
    <row r="658" spans="12:15" ht="12" customHeight="1" x14ac:dyDescent="0.25">
      <c r="L658" s="2"/>
      <c r="M658" s="2"/>
      <c r="N658" s="2"/>
      <c r="O658" s="2"/>
    </row>
    <row r="659" spans="12:15" ht="12" customHeight="1" x14ac:dyDescent="0.25">
      <c r="L659" s="2"/>
      <c r="M659" s="2"/>
      <c r="N659" s="2"/>
      <c r="O659" s="2"/>
    </row>
    <row r="660" spans="12:15" ht="12" customHeight="1" x14ac:dyDescent="0.25">
      <c r="L660" s="2"/>
      <c r="M660" s="2"/>
      <c r="N660" s="2"/>
      <c r="O660" s="2"/>
    </row>
    <row r="661" spans="12:15" ht="12" customHeight="1" x14ac:dyDescent="0.25">
      <c r="L661" s="2"/>
      <c r="M661" s="2"/>
      <c r="N661" s="2"/>
      <c r="O661" s="2"/>
    </row>
    <row r="662" spans="12:15" ht="12" customHeight="1" x14ac:dyDescent="0.25">
      <c r="L662" s="2"/>
      <c r="M662" s="2"/>
      <c r="N662" s="2"/>
      <c r="O662" s="2"/>
    </row>
    <row r="663" spans="12:15" ht="12" customHeight="1" x14ac:dyDescent="0.25">
      <c r="L663" s="2"/>
      <c r="M663" s="2"/>
      <c r="N663" s="2"/>
      <c r="O663" s="2"/>
    </row>
    <row r="664" spans="12:15" ht="12" customHeight="1" x14ac:dyDescent="0.25">
      <c r="L664" s="2"/>
      <c r="M664" s="2"/>
      <c r="N664" s="2"/>
      <c r="O664" s="2"/>
    </row>
    <row r="665" spans="12:15" ht="12" customHeight="1" x14ac:dyDescent="0.25">
      <c r="L665" s="2"/>
      <c r="M665" s="2"/>
      <c r="N665" s="2"/>
      <c r="O665" s="2"/>
    </row>
    <row r="666" spans="12:15" ht="12" customHeight="1" x14ac:dyDescent="0.25">
      <c r="L666" s="2"/>
      <c r="M666" s="2"/>
      <c r="N666" s="2"/>
      <c r="O666" s="2"/>
    </row>
    <row r="667" spans="12:15" ht="12" customHeight="1" x14ac:dyDescent="0.25">
      <c r="L667" s="2"/>
      <c r="M667" s="2"/>
      <c r="N667" s="2"/>
      <c r="O667" s="2"/>
    </row>
    <row r="668" spans="12:15" ht="12" customHeight="1" x14ac:dyDescent="0.25">
      <c r="L668" s="2"/>
      <c r="M668" s="2"/>
      <c r="N668" s="2"/>
      <c r="O668" s="2"/>
    </row>
    <row r="669" spans="12:15" ht="12" customHeight="1" x14ac:dyDescent="0.25">
      <c r="L669" s="2"/>
      <c r="M669" s="2"/>
      <c r="N669" s="2"/>
      <c r="O669" s="2"/>
    </row>
    <row r="670" spans="12:15" ht="12" customHeight="1" x14ac:dyDescent="0.25">
      <c r="L670" s="2"/>
      <c r="M670" s="2"/>
      <c r="N670" s="2"/>
      <c r="O670" s="2"/>
    </row>
    <row r="671" spans="12:15" ht="12" customHeight="1" x14ac:dyDescent="0.25">
      <c r="L671" s="2"/>
      <c r="M671" s="2"/>
      <c r="N671" s="2"/>
      <c r="O671" s="2"/>
    </row>
    <row r="672" spans="12:15" ht="12" customHeight="1" x14ac:dyDescent="0.25">
      <c r="L672" s="2"/>
      <c r="M672" s="2"/>
      <c r="N672" s="2"/>
      <c r="O672" s="2"/>
    </row>
    <row r="673" spans="12:15" ht="12" customHeight="1" x14ac:dyDescent="0.25">
      <c r="L673" s="2"/>
      <c r="M673" s="2"/>
      <c r="N673" s="2"/>
      <c r="O673" s="2"/>
    </row>
    <row r="674" spans="12:15" ht="12" customHeight="1" x14ac:dyDescent="0.25">
      <c r="L674" s="2"/>
      <c r="M674" s="2"/>
      <c r="N674" s="2"/>
      <c r="O674" s="2"/>
    </row>
    <row r="675" spans="12:15" ht="12" customHeight="1" x14ac:dyDescent="0.25">
      <c r="L675" s="2"/>
      <c r="M675" s="2"/>
      <c r="N675" s="2"/>
      <c r="O675" s="2"/>
    </row>
    <row r="676" spans="12:15" ht="12" customHeight="1" x14ac:dyDescent="0.25">
      <c r="L676" s="2"/>
      <c r="M676" s="2"/>
      <c r="N676" s="2"/>
      <c r="O676" s="2"/>
    </row>
    <row r="677" spans="12:15" ht="12" customHeight="1" x14ac:dyDescent="0.25">
      <c r="L677" s="2"/>
      <c r="M677" s="2"/>
      <c r="N677" s="2"/>
      <c r="O677" s="2"/>
    </row>
    <row r="678" spans="12:15" ht="12" customHeight="1" x14ac:dyDescent="0.25">
      <c r="L678" s="2"/>
      <c r="M678" s="2"/>
      <c r="N678" s="2"/>
      <c r="O678" s="2"/>
    </row>
    <row r="679" spans="12:15" ht="12" customHeight="1" x14ac:dyDescent="0.25">
      <c r="L679" s="2"/>
      <c r="M679" s="2"/>
      <c r="N679" s="2"/>
      <c r="O679" s="2"/>
    </row>
    <row r="680" spans="12:15" ht="12" customHeight="1" x14ac:dyDescent="0.25">
      <c r="L680" s="2"/>
      <c r="M680" s="2"/>
      <c r="N680" s="2"/>
      <c r="O680" s="2"/>
    </row>
    <row r="681" spans="12:15" ht="12" customHeight="1" x14ac:dyDescent="0.25">
      <c r="L681" s="2"/>
      <c r="M681" s="2"/>
      <c r="N681" s="2"/>
      <c r="O681" s="2"/>
    </row>
    <row r="682" spans="12:15" ht="12" customHeight="1" x14ac:dyDescent="0.25">
      <c r="L682" s="2"/>
      <c r="M682" s="2"/>
      <c r="N682" s="2"/>
      <c r="O682" s="2"/>
    </row>
    <row r="683" spans="12:15" ht="12" customHeight="1" x14ac:dyDescent="0.25">
      <c r="L683" s="2"/>
      <c r="M683" s="2"/>
      <c r="N683" s="2"/>
      <c r="O683" s="2"/>
    </row>
    <row r="684" spans="12:15" ht="12" customHeight="1" x14ac:dyDescent="0.25">
      <c r="L684" s="2"/>
      <c r="M684" s="2"/>
      <c r="N684" s="2"/>
      <c r="O684" s="2"/>
    </row>
    <row r="685" spans="12:15" ht="12" customHeight="1" x14ac:dyDescent="0.25">
      <c r="L685" s="2"/>
      <c r="M685" s="2"/>
      <c r="N685" s="2"/>
      <c r="O685" s="2"/>
    </row>
    <row r="686" spans="12:15" ht="12" customHeight="1" x14ac:dyDescent="0.25">
      <c r="L686" s="2"/>
      <c r="M686" s="2"/>
      <c r="N686" s="2"/>
      <c r="O686" s="2"/>
    </row>
    <row r="687" spans="12:15" ht="12" customHeight="1" x14ac:dyDescent="0.25">
      <c r="L687" s="2"/>
      <c r="M687" s="2"/>
      <c r="N687" s="2"/>
      <c r="O687" s="2"/>
    </row>
    <row r="688" spans="12:15" ht="12" customHeight="1" x14ac:dyDescent="0.25">
      <c r="L688" s="2"/>
      <c r="M688" s="2"/>
      <c r="N688" s="2"/>
      <c r="O688" s="2"/>
    </row>
    <row r="689" spans="12:15" ht="12" customHeight="1" x14ac:dyDescent="0.25">
      <c r="L689" s="2"/>
      <c r="M689" s="2"/>
      <c r="N689" s="2"/>
      <c r="O689" s="2"/>
    </row>
    <row r="690" spans="12:15" ht="12" customHeight="1" x14ac:dyDescent="0.25">
      <c r="L690" s="2"/>
      <c r="M690" s="2"/>
      <c r="N690" s="2"/>
      <c r="O690" s="2"/>
    </row>
    <row r="691" spans="12:15" ht="12" customHeight="1" x14ac:dyDescent="0.25">
      <c r="L691" s="2"/>
      <c r="M691" s="2"/>
      <c r="N691" s="2"/>
      <c r="O691" s="2"/>
    </row>
    <row r="692" spans="12:15" ht="12" customHeight="1" x14ac:dyDescent="0.25">
      <c r="L692" s="2"/>
      <c r="M692" s="2"/>
      <c r="N692" s="2"/>
      <c r="O692" s="2"/>
    </row>
    <row r="693" spans="12:15" ht="12" customHeight="1" x14ac:dyDescent="0.25">
      <c r="L693" s="2"/>
      <c r="M693" s="2"/>
      <c r="N693" s="2"/>
      <c r="O693" s="2"/>
    </row>
    <row r="694" spans="12:15" ht="12" customHeight="1" x14ac:dyDescent="0.25">
      <c r="L694" s="2"/>
      <c r="M694" s="2"/>
      <c r="N694" s="2"/>
      <c r="O694" s="2"/>
    </row>
    <row r="695" spans="12:15" ht="12" customHeight="1" x14ac:dyDescent="0.25">
      <c r="L695" s="2"/>
      <c r="M695" s="2"/>
      <c r="N695" s="2"/>
      <c r="O695" s="2"/>
    </row>
    <row r="696" spans="12:15" ht="12" customHeight="1" x14ac:dyDescent="0.25">
      <c r="L696" s="2"/>
      <c r="M696" s="2"/>
      <c r="N696" s="2"/>
      <c r="O696" s="2"/>
    </row>
    <row r="697" spans="12:15" ht="12" customHeight="1" x14ac:dyDescent="0.25">
      <c r="L697" s="2"/>
      <c r="M697" s="2"/>
      <c r="N697" s="2"/>
      <c r="O697" s="2"/>
    </row>
    <row r="698" spans="12:15" ht="12" customHeight="1" x14ac:dyDescent="0.25">
      <c r="L698" s="2"/>
      <c r="M698" s="2"/>
      <c r="N698" s="2"/>
      <c r="O698" s="2"/>
    </row>
    <row r="699" spans="12:15" ht="12" customHeight="1" x14ac:dyDescent="0.25">
      <c r="L699" s="2"/>
      <c r="M699" s="2"/>
      <c r="N699" s="2"/>
      <c r="O699" s="2"/>
    </row>
    <row r="700" spans="12:15" ht="12" customHeight="1" x14ac:dyDescent="0.25">
      <c r="L700" s="2"/>
      <c r="M700" s="2"/>
      <c r="N700" s="2"/>
      <c r="O700" s="2"/>
    </row>
    <row r="701" spans="12:15" ht="12" customHeight="1" x14ac:dyDescent="0.25">
      <c r="L701" s="2"/>
      <c r="M701" s="2"/>
      <c r="N701" s="2"/>
      <c r="O701" s="2"/>
    </row>
    <row r="702" spans="12:15" ht="12" customHeight="1" x14ac:dyDescent="0.25">
      <c r="L702" s="2"/>
      <c r="M702" s="2"/>
      <c r="N702" s="2"/>
      <c r="O702" s="2"/>
    </row>
    <row r="703" spans="12:15" ht="12" customHeight="1" x14ac:dyDescent="0.25">
      <c r="L703" s="2"/>
      <c r="M703" s="2"/>
      <c r="N703" s="2"/>
      <c r="O703" s="2"/>
    </row>
    <row r="704" spans="12:15" ht="12" customHeight="1" x14ac:dyDescent="0.25">
      <c r="L704" s="2"/>
      <c r="M704" s="2"/>
      <c r="N704" s="2"/>
      <c r="O704" s="2"/>
    </row>
    <row r="705" spans="12:15" ht="12" customHeight="1" x14ac:dyDescent="0.25">
      <c r="L705" s="2"/>
      <c r="M705" s="2"/>
      <c r="N705" s="2"/>
      <c r="O705" s="2"/>
    </row>
    <row r="706" spans="12:15" ht="12" customHeight="1" x14ac:dyDescent="0.25">
      <c r="L706" s="2"/>
      <c r="M706" s="2"/>
      <c r="N706" s="2"/>
      <c r="O706" s="2"/>
    </row>
    <row r="707" spans="12:15" ht="12" customHeight="1" x14ac:dyDescent="0.25">
      <c r="L707" s="2"/>
      <c r="M707" s="2"/>
      <c r="N707" s="2"/>
      <c r="O707" s="2"/>
    </row>
    <row r="708" spans="12:15" ht="12" customHeight="1" x14ac:dyDescent="0.25">
      <c r="L708" s="2"/>
      <c r="M708" s="2"/>
      <c r="N708" s="2"/>
      <c r="O708" s="2"/>
    </row>
    <row r="709" spans="12:15" ht="12" customHeight="1" x14ac:dyDescent="0.25">
      <c r="L709" s="2"/>
      <c r="M709" s="2"/>
      <c r="N709" s="2"/>
      <c r="O709" s="2"/>
    </row>
    <row r="710" spans="12:15" ht="12" customHeight="1" x14ac:dyDescent="0.25">
      <c r="L710" s="2"/>
      <c r="M710" s="2"/>
      <c r="N710" s="2"/>
      <c r="O710" s="2"/>
    </row>
    <row r="711" spans="12:15" ht="12" customHeight="1" x14ac:dyDescent="0.25">
      <c r="L711" s="2"/>
      <c r="M711" s="2"/>
      <c r="N711" s="2"/>
      <c r="O711" s="2"/>
    </row>
    <row r="712" spans="12:15" ht="12" customHeight="1" x14ac:dyDescent="0.25">
      <c r="L712" s="2"/>
      <c r="M712" s="2"/>
      <c r="N712" s="2"/>
      <c r="O712" s="2"/>
    </row>
    <row r="713" spans="12:15" ht="12" customHeight="1" x14ac:dyDescent="0.25">
      <c r="L713" s="2"/>
      <c r="M713" s="2"/>
      <c r="N713" s="2"/>
      <c r="O713" s="2"/>
    </row>
    <row r="714" spans="12:15" ht="12" customHeight="1" x14ac:dyDescent="0.25">
      <c r="L714" s="2"/>
      <c r="M714" s="2"/>
      <c r="N714" s="2"/>
      <c r="O714" s="2"/>
    </row>
    <row r="715" spans="12:15" ht="12" customHeight="1" x14ac:dyDescent="0.25">
      <c r="L715" s="2"/>
      <c r="M715" s="2"/>
      <c r="N715" s="2"/>
      <c r="O715" s="2"/>
    </row>
    <row r="716" spans="12:15" ht="12" customHeight="1" x14ac:dyDescent="0.25">
      <c r="L716" s="2"/>
      <c r="M716" s="2"/>
      <c r="N716" s="2"/>
      <c r="O716" s="2"/>
    </row>
    <row r="717" spans="12:15" ht="12" customHeight="1" x14ac:dyDescent="0.25">
      <c r="L717" s="2"/>
      <c r="M717" s="2"/>
      <c r="N717" s="2"/>
      <c r="O717" s="2"/>
    </row>
    <row r="718" spans="12:15" ht="12" customHeight="1" x14ac:dyDescent="0.25">
      <c r="L718" s="2"/>
      <c r="M718" s="2"/>
      <c r="N718" s="2"/>
      <c r="O718" s="2"/>
    </row>
    <row r="719" spans="12:15" ht="12" customHeight="1" x14ac:dyDescent="0.25">
      <c r="L719" s="2"/>
      <c r="M719" s="2"/>
      <c r="N719" s="2"/>
      <c r="O719" s="2"/>
    </row>
    <row r="720" spans="12:15" ht="12" customHeight="1" x14ac:dyDescent="0.25">
      <c r="L720" s="2"/>
      <c r="M720" s="2"/>
      <c r="N720" s="2"/>
      <c r="O720" s="2"/>
    </row>
    <row r="721" spans="12:15" ht="12" customHeight="1" x14ac:dyDescent="0.25">
      <c r="L721" s="2"/>
      <c r="M721" s="2"/>
      <c r="N721" s="2"/>
      <c r="O721" s="2"/>
    </row>
    <row r="722" spans="12:15" ht="12" customHeight="1" x14ac:dyDescent="0.25">
      <c r="L722" s="2"/>
      <c r="M722" s="2"/>
      <c r="N722" s="2"/>
      <c r="O722" s="2"/>
    </row>
    <row r="723" spans="12:15" ht="12" customHeight="1" x14ac:dyDescent="0.25">
      <c r="L723" s="2"/>
      <c r="M723" s="2"/>
      <c r="N723" s="2"/>
      <c r="O723" s="2"/>
    </row>
    <row r="724" spans="12:15" ht="12" customHeight="1" x14ac:dyDescent="0.25">
      <c r="L724" s="2"/>
      <c r="M724" s="2"/>
      <c r="N724" s="2"/>
      <c r="O724" s="2"/>
    </row>
    <row r="725" spans="12:15" ht="12" customHeight="1" x14ac:dyDescent="0.25">
      <c r="L725" s="2"/>
      <c r="M725" s="2"/>
      <c r="N725" s="2"/>
      <c r="O725" s="2"/>
    </row>
    <row r="726" spans="12:15" ht="12" customHeight="1" x14ac:dyDescent="0.25">
      <c r="L726" s="2"/>
      <c r="M726" s="2"/>
      <c r="N726" s="2"/>
      <c r="O726" s="2"/>
    </row>
    <row r="727" spans="12:15" ht="12" customHeight="1" x14ac:dyDescent="0.25">
      <c r="L727" s="2"/>
      <c r="M727" s="2"/>
      <c r="N727" s="2"/>
      <c r="O727" s="2"/>
    </row>
    <row r="728" spans="12:15" ht="12" customHeight="1" x14ac:dyDescent="0.25">
      <c r="L728" s="2"/>
      <c r="M728" s="2"/>
      <c r="N728" s="2"/>
      <c r="O728" s="2"/>
    </row>
    <row r="729" spans="12:15" ht="12" customHeight="1" x14ac:dyDescent="0.25">
      <c r="L729" s="2"/>
      <c r="M729" s="2"/>
      <c r="N729" s="2"/>
      <c r="O729" s="2"/>
    </row>
    <row r="730" spans="12:15" ht="12" customHeight="1" x14ac:dyDescent="0.25">
      <c r="L730" s="2"/>
      <c r="M730" s="2"/>
      <c r="N730" s="2"/>
      <c r="O730" s="2"/>
    </row>
    <row r="731" spans="12:15" ht="12" customHeight="1" x14ac:dyDescent="0.25">
      <c r="L731" s="2"/>
      <c r="M731" s="2"/>
      <c r="N731" s="2"/>
      <c r="O731" s="2"/>
    </row>
    <row r="732" spans="12:15" ht="12" customHeight="1" x14ac:dyDescent="0.25">
      <c r="L732" s="2"/>
      <c r="M732" s="2"/>
      <c r="N732" s="2"/>
      <c r="O732" s="2"/>
    </row>
    <row r="733" spans="12:15" ht="12" customHeight="1" x14ac:dyDescent="0.25">
      <c r="L733" s="2"/>
      <c r="M733" s="2"/>
      <c r="N733" s="2"/>
      <c r="O733" s="2"/>
    </row>
    <row r="734" spans="12:15" ht="12" customHeight="1" x14ac:dyDescent="0.25">
      <c r="L734" s="2"/>
      <c r="M734" s="2"/>
      <c r="N734" s="2"/>
      <c r="O734" s="2"/>
    </row>
    <row r="735" spans="12:15" ht="12" customHeight="1" x14ac:dyDescent="0.25">
      <c r="L735" s="2"/>
      <c r="M735" s="2"/>
      <c r="N735" s="2"/>
      <c r="O735" s="2"/>
    </row>
    <row r="736" spans="12:15" ht="12" customHeight="1" x14ac:dyDescent="0.25">
      <c r="L736" s="2"/>
      <c r="M736" s="2"/>
      <c r="N736" s="2"/>
      <c r="O736" s="2"/>
    </row>
    <row r="737" spans="12:15" ht="12" customHeight="1" x14ac:dyDescent="0.25">
      <c r="L737" s="2"/>
      <c r="M737" s="2"/>
      <c r="N737" s="2"/>
      <c r="O737" s="2"/>
    </row>
    <row r="738" spans="12:15" ht="12" customHeight="1" x14ac:dyDescent="0.25">
      <c r="L738" s="2"/>
      <c r="M738" s="2"/>
      <c r="N738" s="2"/>
      <c r="O738" s="2"/>
    </row>
    <row r="739" spans="12:15" ht="12" customHeight="1" x14ac:dyDescent="0.25">
      <c r="L739" s="2"/>
      <c r="M739" s="2"/>
      <c r="N739" s="2"/>
      <c r="O739" s="2"/>
    </row>
    <row r="740" spans="12:15" ht="12" customHeight="1" x14ac:dyDescent="0.25">
      <c r="L740" s="2"/>
      <c r="M740" s="2"/>
      <c r="N740" s="2"/>
      <c r="O740" s="2"/>
    </row>
    <row r="741" spans="12:15" ht="12" customHeight="1" x14ac:dyDescent="0.25">
      <c r="L741" s="2"/>
      <c r="M741" s="2"/>
      <c r="N741" s="2"/>
      <c r="O741" s="2"/>
    </row>
    <row r="742" spans="12:15" ht="12" customHeight="1" x14ac:dyDescent="0.25">
      <c r="L742" s="2"/>
      <c r="M742" s="2"/>
      <c r="N742" s="2"/>
      <c r="O742" s="2"/>
    </row>
    <row r="743" spans="12:15" ht="12" customHeight="1" x14ac:dyDescent="0.25">
      <c r="L743" s="2"/>
      <c r="M743" s="2"/>
      <c r="N743" s="2"/>
      <c r="O743" s="2"/>
    </row>
    <row r="744" spans="12:15" ht="12" customHeight="1" x14ac:dyDescent="0.25">
      <c r="L744" s="2"/>
      <c r="M744" s="2"/>
      <c r="N744" s="2"/>
      <c r="O744" s="2"/>
    </row>
    <row r="745" spans="12:15" ht="12" customHeight="1" x14ac:dyDescent="0.25">
      <c r="L745" s="2"/>
      <c r="M745" s="2"/>
      <c r="N745" s="2"/>
      <c r="O745" s="2"/>
    </row>
    <row r="746" spans="12:15" ht="12" customHeight="1" x14ac:dyDescent="0.25">
      <c r="L746" s="2"/>
      <c r="M746" s="2"/>
      <c r="N746" s="2"/>
      <c r="O746" s="2"/>
    </row>
    <row r="747" spans="12:15" ht="12" customHeight="1" x14ac:dyDescent="0.25">
      <c r="L747" s="2"/>
      <c r="M747" s="2"/>
      <c r="N747" s="2"/>
      <c r="O747" s="2"/>
    </row>
    <row r="748" spans="12:15" ht="12" customHeight="1" x14ac:dyDescent="0.25">
      <c r="L748" s="2"/>
      <c r="M748" s="2"/>
      <c r="N748" s="2"/>
      <c r="O748" s="2"/>
    </row>
    <row r="749" spans="12:15" ht="12" customHeight="1" x14ac:dyDescent="0.25">
      <c r="L749" s="2"/>
      <c r="M749" s="2"/>
      <c r="N749" s="2"/>
      <c r="O749" s="2"/>
    </row>
    <row r="750" spans="12:15" ht="12" customHeight="1" x14ac:dyDescent="0.25">
      <c r="L750" s="2"/>
      <c r="M750" s="2"/>
      <c r="N750" s="2"/>
      <c r="O750" s="2"/>
    </row>
    <row r="751" spans="12:15" ht="12" customHeight="1" x14ac:dyDescent="0.25">
      <c r="L751" s="2"/>
      <c r="M751" s="2"/>
      <c r="N751" s="2"/>
      <c r="O751" s="2"/>
    </row>
    <row r="752" spans="12:15" ht="12" customHeight="1" x14ac:dyDescent="0.25">
      <c r="L752" s="2"/>
      <c r="M752" s="2"/>
      <c r="N752" s="2"/>
      <c r="O752" s="2"/>
    </row>
    <row r="753" spans="12:15" ht="12" customHeight="1" x14ac:dyDescent="0.25">
      <c r="L753" s="2"/>
      <c r="M753" s="2"/>
      <c r="N753" s="2"/>
      <c r="O753" s="2"/>
    </row>
    <row r="754" spans="12:15" ht="12" customHeight="1" x14ac:dyDescent="0.25">
      <c r="L754" s="2"/>
      <c r="M754" s="2"/>
      <c r="N754" s="2"/>
      <c r="O754" s="2"/>
    </row>
    <row r="755" spans="12:15" ht="12" customHeight="1" x14ac:dyDescent="0.25">
      <c r="L755" s="2"/>
      <c r="M755" s="2"/>
      <c r="N755" s="2"/>
      <c r="O755" s="2"/>
    </row>
    <row r="756" spans="12:15" ht="12" customHeight="1" x14ac:dyDescent="0.25">
      <c r="L756" s="2"/>
      <c r="M756" s="2"/>
      <c r="N756" s="2"/>
      <c r="O756" s="2"/>
    </row>
    <row r="757" spans="12:15" ht="12" customHeight="1" x14ac:dyDescent="0.25">
      <c r="L757" s="2"/>
      <c r="M757" s="2"/>
      <c r="N757" s="2"/>
      <c r="O757" s="2"/>
    </row>
    <row r="758" spans="12:15" ht="12" customHeight="1" x14ac:dyDescent="0.25">
      <c r="L758" s="2"/>
      <c r="M758" s="2"/>
      <c r="N758" s="2"/>
      <c r="O758" s="2"/>
    </row>
    <row r="759" spans="12:15" ht="12" customHeight="1" x14ac:dyDescent="0.25">
      <c r="L759" s="2"/>
      <c r="M759" s="2"/>
      <c r="N759" s="2"/>
      <c r="O759" s="2"/>
    </row>
    <row r="760" spans="12:15" ht="12" customHeight="1" x14ac:dyDescent="0.25">
      <c r="L760" s="2"/>
      <c r="M760" s="2"/>
      <c r="N760" s="2"/>
      <c r="O760" s="2"/>
    </row>
    <row r="761" spans="12:15" ht="12" customHeight="1" x14ac:dyDescent="0.25">
      <c r="L761" s="2"/>
      <c r="M761" s="2"/>
      <c r="N761" s="2"/>
      <c r="O761" s="2"/>
    </row>
    <row r="762" spans="12:15" ht="12" customHeight="1" x14ac:dyDescent="0.25">
      <c r="L762" s="2"/>
      <c r="M762" s="2"/>
      <c r="N762" s="2"/>
      <c r="O762" s="2"/>
    </row>
    <row r="763" spans="12:15" ht="12" customHeight="1" x14ac:dyDescent="0.25">
      <c r="L763" s="2"/>
      <c r="M763" s="2"/>
      <c r="N763" s="2"/>
      <c r="O763" s="2"/>
    </row>
    <row r="764" spans="12:15" ht="12" customHeight="1" x14ac:dyDescent="0.25">
      <c r="L764" s="2"/>
      <c r="M764" s="2"/>
      <c r="N764" s="2"/>
      <c r="O764" s="2"/>
    </row>
    <row r="765" spans="12:15" ht="12" customHeight="1" x14ac:dyDescent="0.25">
      <c r="L765" s="2"/>
      <c r="M765" s="2"/>
      <c r="N765" s="2"/>
      <c r="O765" s="2"/>
    </row>
    <row r="766" spans="12:15" ht="12" customHeight="1" x14ac:dyDescent="0.25">
      <c r="L766" s="2"/>
      <c r="M766" s="2"/>
      <c r="N766" s="2"/>
      <c r="O766" s="2"/>
    </row>
    <row r="767" spans="12:15" ht="12" customHeight="1" x14ac:dyDescent="0.25">
      <c r="L767" s="2"/>
      <c r="M767" s="2"/>
      <c r="N767" s="2"/>
      <c r="O767" s="2"/>
    </row>
    <row r="768" spans="12:15" ht="12" customHeight="1" x14ac:dyDescent="0.25">
      <c r="L768" s="2"/>
      <c r="M768" s="2"/>
      <c r="N768" s="2"/>
      <c r="O768" s="2"/>
    </row>
    <row r="769" spans="12:15" ht="12" customHeight="1" x14ac:dyDescent="0.25">
      <c r="L769" s="2"/>
      <c r="M769" s="2"/>
      <c r="N769" s="2"/>
      <c r="O769" s="2"/>
    </row>
    <row r="770" spans="12:15" ht="12" customHeight="1" x14ac:dyDescent="0.25">
      <c r="L770" s="2"/>
      <c r="M770" s="2"/>
      <c r="N770" s="2"/>
      <c r="O770" s="2"/>
    </row>
    <row r="771" spans="12:15" ht="12" customHeight="1" x14ac:dyDescent="0.25">
      <c r="L771" s="2"/>
      <c r="M771" s="2"/>
      <c r="N771" s="2"/>
      <c r="O771" s="2"/>
    </row>
    <row r="772" spans="12:15" ht="12" customHeight="1" x14ac:dyDescent="0.25">
      <c r="L772" s="2"/>
      <c r="M772" s="2"/>
      <c r="N772" s="2"/>
      <c r="O772" s="2"/>
    </row>
    <row r="773" spans="12:15" ht="12" customHeight="1" x14ac:dyDescent="0.25">
      <c r="L773" s="2"/>
      <c r="M773" s="2"/>
      <c r="N773" s="2"/>
      <c r="O773" s="2"/>
    </row>
    <row r="774" spans="12:15" ht="12" customHeight="1" x14ac:dyDescent="0.25">
      <c r="L774" s="2"/>
      <c r="M774" s="2"/>
      <c r="N774" s="2"/>
      <c r="O774" s="2"/>
    </row>
    <row r="775" spans="12:15" ht="12" customHeight="1" x14ac:dyDescent="0.25">
      <c r="L775" s="2"/>
      <c r="M775" s="2"/>
      <c r="N775" s="2"/>
      <c r="O775" s="2"/>
    </row>
    <row r="776" spans="12:15" ht="12" customHeight="1" x14ac:dyDescent="0.25">
      <c r="L776" s="2"/>
      <c r="M776" s="2"/>
      <c r="N776" s="2"/>
      <c r="O776" s="2"/>
    </row>
    <row r="777" spans="12:15" ht="12" customHeight="1" x14ac:dyDescent="0.25">
      <c r="L777" s="2"/>
      <c r="M777" s="2"/>
      <c r="N777" s="2"/>
      <c r="O777" s="2"/>
    </row>
    <row r="778" spans="12:15" ht="12" customHeight="1" x14ac:dyDescent="0.25">
      <c r="L778" s="2"/>
      <c r="M778" s="2"/>
      <c r="N778" s="2"/>
      <c r="O778" s="2"/>
    </row>
    <row r="779" spans="12:15" ht="12" customHeight="1" x14ac:dyDescent="0.25">
      <c r="L779" s="2"/>
      <c r="M779" s="2"/>
      <c r="N779" s="2"/>
      <c r="O779" s="2"/>
    </row>
    <row r="780" spans="12:15" ht="12" customHeight="1" x14ac:dyDescent="0.25">
      <c r="L780" s="2"/>
      <c r="M780" s="2"/>
      <c r="N780" s="2"/>
      <c r="O780" s="2"/>
    </row>
    <row r="781" spans="12:15" ht="12" customHeight="1" x14ac:dyDescent="0.25">
      <c r="L781" s="2"/>
      <c r="M781" s="2"/>
      <c r="N781" s="2"/>
      <c r="O781" s="2"/>
    </row>
    <row r="782" spans="12:15" ht="12" customHeight="1" x14ac:dyDescent="0.25">
      <c r="L782" s="2"/>
      <c r="M782" s="2"/>
      <c r="N782" s="2"/>
      <c r="O782" s="2"/>
    </row>
    <row r="783" spans="12:15" ht="12" customHeight="1" x14ac:dyDescent="0.25">
      <c r="L783" s="2"/>
      <c r="M783" s="2"/>
      <c r="N783" s="2"/>
      <c r="O783" s="2"/>
    </row>
    <row r="784" spans="12:15" ht="12" customHeight="1" x14ac:dyDescent="0.25">
      <c r="L784" s="2"/>
      <c r="M784" s="2"/>
      <c r="N784" s="2"/>
      <c r="O784" s="2"/>
    </row>
    <row r="785" spans="12:15" ht="12" customHeight="1" x14ac:dyDescent="0.25">
      <c r="L785" s="2"/>
      <c r="M785" s="2"/>
      <c r="N785" s="2"/>
      <c r="O785" s="2"/>
    </row>
    <row r="786" spans="12:15" ht="12" customHeight="1" x14ac:dyDescent="0.25">
      <c r="L786" s="2"/>
      <c r="M786" s="2"/>
      <c r="N786" s="2"/>
      <c r="O786" s="2"/>
    </row>
    <row r="787" spans="12:15" ht="12" customHeight="1" x14ac:dyDescent="0.25">
      <c r="L787" s="2"/>
      <c r="M787" s="2"/>
      <c r="N787" s="2"/>
      <c r="O787" s="2"/>
    </row>
    <row r="788" spans="12:15" ht="12" customHeight="1" x14ac:dyDescent="0.25">
      <c r="L788" s="2"/>
      <c r="M788" s="2"/>
      <c r="N788" s="2"/>
      <c r="O788" s="2"/>
    </row>
    <row r="789" spans="12:15" ht="12" customHeight="1" x14ac:dyDescent="0.25">
      <c r="L789" s="2"/>
      <c r="M789" s="2"/>
      <c r="N789" s="2"/>
      <c r="O789" s="2"/>
    </row>
    <row r="790" spans="12:15" ht="12" customHeight="1" x14ac:dyDescent="0.25">
      <c r="L790" s="2"/>
      <c r="M790" s="2"/>
      <c r="N790" s="2"/>
      <c r="O790" s="2"/>
    </row>
    <row r="791" spans="12:15" ht="12" customHeight="1" x14ac:dyDescent="0.25">
      <c r="L791" s="2"/>
      <c r="M791" s="2"/>
      <c r="N791" s="2"/>
      <c r="O791" s="2"/>
    </row>
    <row r="792" spans="12:15" ht="12" customHeight="1" x14ac:dyDescent="0.25">
      <c r="L792" s="2"/>
      <c r="M792" s="2"/>
      <c r="N792" s="2"/>
      <c r="O792" s="2"/>
    </row>
    <row r="793" spans="12:15" ht="12" customHeight="1" x14ac:dyDescent="0.25">
      <c r="L793" s="2"/>
      <c r="M793" s="2"/>
      <c r="N793" s="2"/>
      <c r="O793" s="2"/>
    </row>
    <row r="794" spans="12:15" ht="12" customHeight="1" x14ac:dyDescent="0.25">
      <c r="L794" s="2"/>
      <c r="M794" s="2"/>
      <c r="N794" s="2"/>
      <c r="O794" s="2"/>
    </row>
    <row r="795" spans="12:15" ht="12" customHeight="1" x14ac:dyDescent="0.25">
      <c r="L795" s="2"/>
      <c r="M795" s="2"/>
      <c r="N795" s="2"/>
      <c r="O795" s="2"/>
    </row>
    <row r="796" spans="12:15" ht="12" customHeight="1" x14ac:dyDescent="0.25">
      <c r="L796" s="2"/>
      <c r="M796" s="2"/>
      <c r="N796" s="2"/>
      <c r="O796" s="2"/>
    </row>
    <row r="797" spans="12:15" ht="12" customHeight="1" x14ac:dyDescent="0.25">
      <c r="L797" s="2"/>
      <c r="M797" s="2"/>
      <c r="N797" s="2"/>
      <c r="O797" s="2"/>
    </row>
    <row r="798" spans="12:15" ht="12" customHeight="1" x14ac:dyDescent="0.25">
      <c r="L798" s="2"/>
      <c r="M798" s="2"/>
      <c r="N798" s="2"/>
      <c r="O798" s="2"/>
    </row>
    <row r="799" spans="12:15" ht="12" customHeight="1" x14ac:dyDescent="0.25">
      <c r="L799" s="2"/>
      <c r="M799" s="2"/>
      <c r="N799" s="2"/>
      <c r="O799" s="2"/>
    </row>
    <row r="800" spans="12:15" ht="12" customHeight="1" x14ac:dyDescent="0.25">
      <c r="L800" s="2"/>
      <c r="M800" s="2"/>
      <c r="N800" s="2"/>
      <c r="O800" s="2"/>
    </row>
    <row r="801" spans="12:15" ht="12" customHeight="1" x14ac:dyDescent="0.25">
      <c r="L801" s="2"/>
      <c r="M801" s="2"/>
      <c r="N801" s="2"/>
      <c r="O801" s="2"/>
    </row>
    <row r="802" spans="12:15" ht="12" customHeight="1" x14ac:dyDescent="0.25">
      <c r="L802" s="2"/>
      <c r="M802" s="2"/>
      <c r="N802" s="2"/>
      <c r="O802" s="2"/>
    </row>
    <row r="803" spans="12:15" ht="12" customHeight="1" x14ac:dyDescent="0.25">
      <c r="L803" s="2"/>
      <c r="M803" s="2"/>
      <c r="N803" s="2"/>
      <c r="O803" s="2"/>
    </row>
    <row r="804" spans="12:15" ht="12" customHeight="1" x14ac:dyDescent="0.25">
      <c r="L804" s="2"/>
      <c r="M804" s="2"/>
      <c r="N804" s="2"/>
      <c r="O804" s="2"/>
    </row>
    <row r="805" spans="12:15" ht="12" customHeight="1" x14ac:dyDescent="0.25">
      <c r="L805" s="2"/>
      <c r="M805" s="2"/>
      <c r="N805" s="2"/>
      <c r="O805" s="2"/>
    </row>
    <row r="806" spans="12:15" ht="12" customHeight="1" x14ac:dyDescent="0.25">
      <c r="L806" s="2"/>
      <c r="M806" s="2"/>
      <c r="N806" s="2"/>
      <c r="O806" s="2"/>
    </row>
    <row r="807" spans="12:15" ht="12" customHeight="1" x14ac:dyDescent="0.25">
      <c r="L807" s="2"/>
      <c r="M807" s="2"/>
      <c r="N807" s="2"/>
      <c r="O807" s="2"/>
    </row>
    <row r="808" spans="12:15" ht="12" customHeight="1" x14ac:dyDescent="0.25">
      <c r="L808" s="2"/>
      <c r="M808" s="2"/>
      <c r="N808" s="2"/>
      <c r="O808" s="2"/>
    </row>
    <row r="809" spans="12:15" ht="12" customHeight="1" x14ac:dyDescent="0.25">
      <c r="L809" s="2"/>
      <c r="M809" s="2"/>
      <c r="N809" s="2"/>
      <c r="O809" s="2"/>
    </row>
    <row r="810" spans="12:15" ht="12" customHeight="1" x14ac:dyDescent="0.25">
      <c r="L810" s="2"/>
      <c r="M810" s="2"/>
      <c r="N810" s="2"/>
      <c r="O810" s="2"/>
    </row>
    <row r="811" spans="12:15" ht="12" customHeight="1" x14ac:dyDescent="0.25">
      <c r="L811" s="2"/>
      <c r="M811" s="2"/>
      <c r="N811" s="2"/>
      <c r="O811" s="2"/>
    </row>
    <row r="812" spans="12:15" ht="12" customHeight="1" x14ac:dyDescent="0.25">
      <c r="L812" s="2"/>
      <c r="M812" s="2"/>
      <c r="N812" s="2"/>
      <c r="O812" s="2"/>
    </row>
    <row r="813" spans="12:15" ht="12" customHeight="1" x14ac:dyDescent="0.25">
      <c r="L813" s="2"/>
      <c r="M813" s="2"/>
      <c r="N813" s="2"/>
      <c r="O813" s="2"/>
    </row>
    <row r="814" spans="12:15" ht="12" customHeight="1" x14ac:dyDescent="0.25">
      <c r="L814" s="2"/>
      <c r="M814" s="2"/>
      <c r="N814" s="2"/>
      <c r="O814" s="2"/>
    </row>
    <row r="815" spans="12:15" ht="12" customHeight="1" x14ac:dyDescent="0.25">
      <c r="L815" s="2"/>
      <c r="M815" s="2"/>
      <c r="N815" s="2"/>
      <c r="O815" s="2"/>
    </row>
    <row r="816" spans="12:15" ht="12" customHeight="1" x14ac:dyDescent="0.25">
      <c r="L816" s="2"/>
      <c r="M816" s="2"/>
      <c r="N816" s="2"/>
      <c r="O816" s="2"/>
    </row>
    <row r="817" spans="12:15" ht="12" customHeight="1" x14ac:dyDescent="0.25">
      <c r="L817" s="2"/>
      <c r="M817" s="2"/>
      <c r="N817" s="2"/>
      <c r="O817" s="2"/>
    </row>
    <row r="818" spans="12:15" ht="12" customHeight="1" x14ac:dyDescent="0.25">
      <c r="L818" s="2"/>
      <c r="M818" s="2"/>
      <c r="N818" s="2"/>
      <c r="O818" s="2"/>
    </row>
    <row r="819" spans="12:15" ht="12" customHeight="1" x14ac:dyDescent="0.25">
      <c r="L819" s="2"/>
      <c r="M819" s="2"/>
      <c r="N819" s="2"/>
      <c r="O819" s="2"/>
    </row>
    <row r="820" spans="12:15" ht="12" customHeight="1" x14ac:dyDescent="0.25">
      <c r="L820" s="2"/>
      <c r="M820" s="2"/>
      <c r="N820" s="2"/>
      <c r="O820" s="2"/>
    </row>
    <row r="821" spans="12:15" ht="12" customHeight="1" x14ac:dyDescent="0.25">
      <c r="L821" s="2"/>
      <c r="M821" s="2"/>
      <c r="N821" s="2"/>
      <c r="O821" s="2"/>
    </row>
    <row r="822" spans="12:15" ht="12" customHeight="1" x14ac:dyDescent="0.25">
      <c r="L822" s="2"/>
      <c r="M822" s="2"/>
      <c r="N822" s="2"/>
      <c r="O822" s="2"/>
    </row>
    <row r="823" spans="12:15" ht="12" customHeight="1" x14ac:dyDescent="0.25">
      <c r="L823" s="2"/>
      <c r="M823" s="2"/>
      <c r="N823" s="2"/>
      <c r="O823" s="2"/>
    </row>
    <row r="824" spans="12:15" ht="12" customHeight="1" x14ac:dyDescent="0.25">
      <c r="L824" s="2"/>
      <c r="M824" s="2"/>
      <c r="N824" s="2"/>
      <c r="O824" s="2"/>
    </row>
    <row r="825" spans="12:15" ht="12" customHeight="1" x14ac:dyDescent="0.25">
      <c r="L825" s="2"/>
      <c r="M825" s="2"/>
      <c r="N825" s="2"/>
      <c r="O825" s="2"/>
    </row>
    <row r="826" spans="12:15" ht="12" customHeight="1" x14ac:dyDescent="0.25">
      <c r="L826" s="2"/>
      <c r="M826" s="2"/>
      <c r="N826" s="2"/>
      <c r="O826" s="2"/>
    </row>
    <row r="827" spans="12:15" ht="12" customHeight="1" x14ac:dyDescent="0.25">
      <c r="L827" s="2"/>
      <c r="M827" s="2"/>
      <c r="N827" s="2"/>
      <c r="O827" s="2"/>
    </row>
    <row r="828" spans="12:15" ht="12" customHeight="1" x14ac:dyDescent="0.25">
      <c r="L828" s="2"/>
      <c r="M828" s="2"/>
      <c r="N828" s="2"/>
      <c r="O828" s="2"/>
    </row>
    <row r="829" spans="12:15" ht="12" customHeight="1" x14ac:dyDescent="0.25">
      <c r="L829" s="2"/>
      <c r="M829" s="2"/>
      <c r="N829" s="2"/>
      <c r="O829" s="2"/>
    </row>
    <row r="830" spans="12:15" ht="12" customHeight="1" x14ac:dyDescent="0.25">
      <c r="L830" s="2"/>
      <c r="M830" s="2"/>
      <c r="N830" s="2"/>
      <c r="O830" s="2"/>
    </row>
    <row r="831" spans="12:15" ht="12" customHeight="1" x14ac:dyDescent="0.25">
      <c r="L831" s="2"/>
      <c r="M831" s="2"/>
      <c r="N831" s="2"/>
      <c r="O831" s="2"/>
    </row>
    <row r="832" spans="12:15" ht="12" customHeight="1" x14ac:dyDescent="0.25">
      <c r="L832" s="2"/>
      <c r="M832" s="2"/>
      <c r="N832" s="2"/>
      <c r="O832" s="2"/>
    </row>
    <row r="833" spans="12:15" ht="12" customHeight="1" x14ac:dyDescent="0.25">
      <c r="L833" s="2"/>
      <c r="M833" s="2"/>
      <c r="N833" s="2"/>
      <c r="O833" s="2"/>
    </row>
    <row r="834" spans="12:15" ht="12" customHeight="1" x14ac:dyDescent="0.25">
      <c r="L834" s="2"/>
      <c r="M834" s="2"/>
      <c r="N834" s="2"/>
      <c r="O834" s="2"/>
    </row>
    <row r="835" spans="12:15" ht="12" customHeight="1" x14ac:dyDescent="0.25">
      <c r="L835" s="2"/>
      <c r="M835" s="2"/>
      <c r="N835" s="2"/>
      <c r="O835" s="2"/>
    </row>
    <row r="836" spans="12:15" ht="12" customHeight="1" x14ac:dyDescent="0.25">
      <c r="L836" s="2"/>
      <c r="M836" s="2"/>
      <c r="N836" s="2"/>
      <c r="O836" s="2"/>
    </row>
    <row r="837" spans="12:15" ht="12" customHeight="1" x14ac:dyDescent="0.25">
      <c r="L837" s="2"/>
      <c r="M837" s="2"/>
      <c r="N837" s="2"/>
      <c r="O837" s="2"/>
    </row>
    <row r="838" spans="12:15" ht="12" customHeight="1" x14ac:dyDescent="0.25">
      <c r="L838" s="2"/>
      <c r="M838" s="2"/>
      <c r="N838" s="2"/>
      <c r="O838" s="2"/>
    </row>
    <row r="839" spans="12:15" ht="12" customHeight="1" x14ac:dyDescent="0.25">
      <c r="L839" s="2"/>
      <c r="M839" s="2"/>
      <c r="N839" s="2"/>
      <c r="O839" s="2"/>
    </row>
    <row r="840" spans="12:15" ht="12" customHeight="1" x14ac:dyDescent="0.25">
      <c r="L840" s="2"/>
      <c r="M840" s="2"/>
      <c r="N840" s="2"/>
      <c r="O840" s="2"/>
    </row>
    <row r="841" spans="12:15" ht="12" customHeight="1" x14ac:dyDescent="0.25">
      <c r="L841" s="2"/>
      <c r="M841" s="2"/>
      <c r="N841" s="2"/>
      <c r="O841" s="2"/>
    </row>
    <row r="842" spans="12:15" ht="12" customHeight="1" x14ac:dyDescent="0.25">
      <c r="L842" s="2"/>
      <c r="M842" s="2"/>
      <c r="N842" s="2"/>
      <c r="O842" s="2"/>
    </row>
    <row r="843" spans="12:15" ht="12" customHeight="1" x14ac:dyDescent="0.25">
      <c r="L843" s="2"/>
      <c r="M843" s="2"/>
      <c r="N843" s="2"/>
      <c r="O843" s="2"/>
    </row>
    <row r="844" spans="12:15" ht="12" customHeight="1" x14ac:dyDescent="0.25">
      <c r="L844" s="2"/>
      <c r="M844" s="2"/>
      <c r="N844" s="2"/>
      <c r="O844" s="2"/>
    </row>
    <row r="845" spans="12:15" ht="12" customHeight="1" x14ac:dyDescent="0.25">
      <c r="L845" s="2"/>
      <c r="M845" s="2"/>
      <c r="N845" s="2"/>
      <c r="O845" s="2"/>
    </row>
    <row r="846" spans="12:15" ht="12" customHeight="1" x14ac:dyDescent="0.25">
      <c r="L846" s="2"/>
      <c r="M846" s="2"/>
      <c r="N846" s="2"/>
      <c r="O846" s="2"/>
    </row>
    <row r="847" spans="12:15" ht="12" customHeight="1" x14ac:dyDescent="0.25">
      <c r="L847" s="2"/>
      <c r="M847" s="2"/>
      <c r="N847" s="2"/>
      <c r="O847" s="2"/>
    </row>
    <row r="848" spans="12:15" ht="12" customHeight="1" x14ac:dyDescent="0.25">
      <c r="L848" s="2"/>
      <c r="M848" s="2"/>
      <c r="N848" s="2"/>
      <c r="O848" s="2"/>
    </row>
    <row r="849" spans="12:15" ht="12" customHeight="1" x14ac:dyDescent="0.25">
      <c r="L849" s="2"/>
      <c r="M849" s="2"/>
      <c r="N849" s="2"/>
      <c r="O849" s="2"/>
    </row>
    <row r="850" spans="12:15" ht="12" customHeight="1" x14ac:dyDescent="0.25">
      <c r="L850" s="2"/>
      <c r="M850" s="2"/>
      <c r="N850" s="2"/>
      <c r="O850" s="2"/>
    </row>
    <row r="851" spans="12:15" ht="12" customHeight="1" x14ac:dyDescent="0.25">
      <c r="L851" s="2"/>
      <c r="M851" s="2"/>
      <c r="N851" s="2"/>
      <c r="O851" s="2"/>
    </row>
    <row r="852" spans="12:15" ht="12" customHeight="1" x14ac:dyDescent="0.25">
      <c r="L852" s="2"/>
      <c r="M852" s="2"/>
      <c r="N852" s="2"/>
      <c r="O852" s="2"/>
    </row>
    <row r="853" spans="12:15" ht="12" customHeight="1" x14ac:dyDescent="0.25">
      <c r="L853" s="2"/>
      <c r="M853" s="2"/>
      <c r="N853" s="2"/>
      <c r="O853" s="2"/>
    </row>
    <row r="854" spans="12:15" ht="12" customHeight="1" x14ac:dyDescent="0.25">
      <c r="L854" s="2"/>
      <c r="M854" s="2"/>
      <c r="N854" s="2"/>
      <c r="O854" s="2"/>
    </row>
    <row r="855" spans="12:15" ht="12" customHeight="1" x14ac:dyDescent="0.25">
      <c r="L855" s="2"/>
      <c r="M855" s="2"/>
      <c r="N855" s="2"/>
      <c r="O855" s="2"/>
    </row>
    <row r="856" spans="12:15" ht="12" customHeight="1" x14ac:dyDescent="0.25">
      <c r="L856" s="2"/>
      <c r="M856" s="2"/>
      <c r="N856" s="2"/>
      <c r="O856" s="2"/>
    </row>
    <row r="857" spans="12:15" ht="12" customHeight="1" x14ac:dyDescent="0.25">
      <c r="L857" s="2"/>
      <c r="M857" s="2"/>
      <c r="N857" s="2"/>
      <c r="O857" s="2"/>
    </row>
    <row r="858" spans="12:15" ht="12" customHeight="1" x14ac:dyDescent="0.25">
      <c r="L858" s="2"/>
      <c r="M858" s="2"/>
      <c r="N858" s="2"/>
      <c r="O858" s="2"/>
    </row>
    <row r="859" spans="12:15" ht="12" customHeight="1" x14ac:dyDescent="0.25">
      <c r="L859" s="2"/>
      <c r="M859" s="2"/>
      <c r="N859" s="2"/>
      <c r="O859" s="2"/>
    </row>
    <row r="860" spans="12:15" ht="12" customHeight="1" x14ac:dyDescent="0.25">
      <c r="L860" s="2"/>
      <c r="M860" s="2"/>
      <c r="N860" s="2"/>
      <c r="O860" s="2"/>
    </row>
    <row r="861" spans="12:15" ht="12" customHeight="1" x14ac:dyDescent="0.25">
      <c r="L861" s="2"/>
      <c r="M861" s="2"/>
      <c r="N861" s="2"/>
      <c r="O861" s="2"/>
    </row>
    <row r="862" spans="12:15" ht="12" customHeight="1" x14ac:dyDescent="0.25">
      <c r="L862" s="2"/>
      <c r="M862" s="2"/>
      <c r="N862" s="2"/>
      <c r="O862" s="2"/>
    </row>
    <row r="863" spans="12:15" ht="12" customHeight="1" x14ac:dyDescent="0.25">
      <c r="L863" s="2"/>
      <c r="M863" s="2"/>
      <c r="N863" s="2"/>
      <c r="O863" s="2"/>
    </row>
    <row r="864" spans="12:15" ht="12" customHeight="1" x14ac:dyDescent="0.25">
      <c r="L864" s="2"/>
      <c r="M864" s="2"/>
      <c r="N864" s="2"/>
      <c r="O864" s="2"/>
    </row>
    <row r="865" spans="12:15" ht="12" customHeight="1" x14ac:dyDescent="0.25">
      <c r="L865" s="2"/>
      <c r="M865" s="2"/>
      <c r="N865" s="2"/>
      <c r="O865" s="2"/>
    </row>
    <row r="866" spans="12:15" ht="12" customHeight="1" x14ac:dyDescent="0.25">
      <c r="L866" s="2"/>
      <c r="M866" s="2"/>
      <c r="N866" s="2"/>
      <c r="O866" s="2"/>
    </row>
    <row r="867" spans="12:15" ht="12" customHeight="1" x14ac:dyDescent="0.25">
      <c r="L867" s="2"/>
      <c r="M867" s="2"/>
      <c r="N867" s="2"/>
      <c r="O867" s="2"/>
    </row>
    <row r="868" spans="12:15" ht="12" customHeight="1" x14ac:dyDescent="0.25">
      <c r="L868" s="2"/>
      <c r="M868" s="2"/>
      <c r="N868" s="2"/>
      <c r="O868" s="2"/>
    </row>
    <row r="869" spans="12:15" ht="12" customHeight="1" x14ac:dyDescent="0.25">
      <c r="L869" s="2"/>
      <c r="M869" s="2"/>
      <c r="N869" s="2"/>
      <c r="O869" s="2"/>
    </row>
    <row r="870" spans="12:15" ht="12" customHeight="1" x14ac:dyDescent="0.25">
      <c r="L870" s="2"/>
      <c r="M870" s="2"/>
      <c r="N870" s="2"/>
      <c r="O870" s="2"/>
    </row>
    <row r="871" spans="12:15" ht="12" customHeight="1" x14ac:dyDescent="0.25">
      <c r="L871" s="2"/>
      <c r="M871" s="2"/>
      <c r="N871" s="2"/>
      <c r="O871" s="2"/>
    </row>
    <row r="872" spans="12:15" ht="12" customHeight="1" x14ac:dyDescent="0.25">
      <c r="L872" s="2"/>
      <c r="M872" s="2"/>
      <c r="N872" s="2"/>
      <c r="O872" s="2"/>
    </row>
    <row r="873" spans="12:15" ht="12" customHeight="1" x14ac:dyDescent="0.25">
      <c r="L873" s="2"/>
      <c r="M873" s="2"/>
      <c r="N873" s="2"/>
      <c r="O873" s="2"/>
    </row>
    <row r="874" spans="12:15" ht="12" customHeight="1" x14ac:dyDescent="0.25">
      <c r="L874" s="2"/>
      <c r="M874" s="2"/>
      <c r="N874" s="2"/>
      <c r="O874" s="2"/>
    </row>
    <row r="875" spans="12:15" ht="12" customHeight="1" x14ac:dyDescent="0.25">
      <c r="L875" s="2"/>
      <c r="M875" s="2"/>
      <c r="N875" s="2"/>
      <c r="O875" s="2"/>
    </row>
    <row r="876" spans="12:15" ht="12" customHeight="1" x14ac:dyDescent="0.25">
      <c r="L876" s="2"/>
      <c r="M876" s="2"/>
      <c r="N876" s="2"/>
      <c r="O876" s="2"/>
    </row>
    <row r="877" spans="12:15" ht="12" customHeight="1" x14ac:dyDescent="0.25">
      <c r="L877" s="2"/>
      <c r="M877" s="2"/>
      <c r="N877" s="2"/>
      <c r="O877" s="2"/>
    </row>
    <row r="878" spans="12:15" ht="12" customHeight="1" x14ac:dyDescent="0.25">
      <c r="L878" s="2"/>
      <c r="M878" s="2"/>
      <c r="N878" s="2"/>
      <c r="O878" s="2"/>
    </row>
    <row r="879" spans="12:15" ht="12" customHeight="1" x14ac:dyDescent="0.25">
      <c r="L879" s="2"/>
      <c r="M879" s="2"/>
      <c r="N879" s="2"/>
      <c r="O879" s="2"/>
    </row>
    <row r="880" spans="12:15" ht="12" customHeight="1" x14ac:dyDescent="0.25">
      <c r="L880" s="2"/>
      <c r="M880" s="2"/>
      <c r="N880" s="2"/>
      <c r="O880" s="2"/>
    </row>
    <row r="881" spans="12:15" ht="12" customHeight="1" x14ac:dyDescent="0.25">
      <c r="L881" s="2"/>
      <c r="M881" s="2"/>
      <c r="N881" s="2"/>
      <c r="O881" s="2"/>
    </row>
    <row r="882" spans="12:15" ht="12" customHeight="1" x14ac:dyDescent="0.25">
      <c r="L882" s="2"/>
      <c r="M882" s="2"/>
      <c r="N882" s="2"/>
      <c r="O882" s="2"/>
    </row>
    <row r="883" spans="12:15" ht="12" customHeight="1" x14ac:dyDescent="0.25">
      <c r="L883" s="2"/>
      <c r="M883" s="2"/>
      <c r="N883" s="2"/>
      <c r="O883" s="2"/>
    </row>
    <row r="884" spans="12:15" ht="12" customHeight="1" x14ac:dyDescent="0.25">
      <c r="L884" s="2"/>
      <c r="M884" s="2"/>
      <c r="N884" s="2"/>
      <c r="O884" s="2"/>
    </row>
    <row r="885" spans="12:15" ht="12" customHeight="1" x14ac:dyDescent="0.25">
      <c r="L885" s="2"/>
      <c r="M885" s="2"/>
      <c r="N885" s="2"/>
      <c r="O885" s="2"/>
    </row>
    <row r="886" spans="12:15" ht="12" customHeight="1" x14ac:dyDescent="0.25">
      <c r="L886" s="2"/>
      <c r="M886" s="2"/>
      <c r="N886" s="2"/>
      <c r="O886" s="2"/>
    </row>
    <row r="887" spans="12:15" ht="12" customHeight="1" x14ac:dyDescent="0.25">
      <c r="L887" s="2"/>
      <c r="M887" s="2"/>
      <c r="N887" s="2"/>
      <c r="O887" s="2"/>
    </row>
    <row r="888" spans="12:15" ht="12" customHeight="1" x14ac:dyDescent="0.25">
      <c r="L888" s="2"/>
      <c r="M888" s="2"/>
      <c r="N888" s="2"/>
      <c r="O888" s="2"/>
    </row>
    <row r="889" spans="12:15" ht="12" customHeight="1" x14ac:dyDescent="0.25">
      <c r="L889" s="2"/>
      <c r="M889" s="2"/>
      <c r="N889" s="2"/>
      <c r="O889" s="2"/>
    </row>
    <row r="890" spans="12:15" ht="12" customHeight="1" x14ac:dyDescent="0.25">
      <c r="L890" s="2"/>
      <c r="M890" s="2"/>
      <c r="N890" s="2"/>
      <c r="O890" s="2"/>
    </row>
    <row r="891" spans="12:15" ht="12" customHeight="1" x14ac:dyDescent="0.25">
      <c r="L891" s="2"/>
      <c r="M891" s="2"/>
      <c r="N891" s="2"/>
      <c r="O891" s="2"/>
    </row>
    <row r="892" spans="12:15" ht="12" customHeight="1" x14ac:dyDescent="0.25">
      <c r="L892" s="2"/>
      <c r="M892" s="2"/>
      <c r="N892" s="2"/>
      <c r="O892" s="2"/>
    </row>
    <row r="893" spans="12:15" ht="12" customHeight="1" x14ac:dyDescent="0.25">
      <c r="L893" s="2"/>
      <c r="M893" s="2"/>
      <c r="N893" s="2"/>
      <c r="O893" s="2"/>
    </row>
    <row r="894" spans="12:15" ht="12" customHeight="1" x14ac:dyDescent="0.25">
      <c r="L894" s="2"/>
      <c r="M894" s="2"/>
      <c r="N894" s="2"/>
      <c r="O894" s="2"/>
    </row>
    <row r="895" spans="12:15" ht="12" customHeight="1" x14ac:dyDescent="0.25">
      <c r="L895" s="2"/>
      <c r="M895" s="2"/>
      <c r="N895" s="2"/>
      <c r="O895" s="2"/>
    </row>
    <row r="896" spans="12:15" ht="12" customHeight="1" x14ac:dyDescent="0.25">
      <c r="L896" s="2"/>
      <c r="M896" s="2"/>
      <c r="N896" s="2"/>
      <c r="O896" s="2"/>
    </row>
    <row r="897" spans="12:15" ht="12" customHeight="1" x14ac:dyDescent="0.25">
      <c r="L897" s="2"/>
      <c r="M897" s="2"/>
      <c r="N897" s="2"/>
      <c r="O897" s="2"/>
    </row>
    <row r="898" spans="12:15" ht="12" customHeight="1" x14ac:dyDescent="0.25">
      <c r="L898" s="2"/>
      <c r="M898" s="2"/>
      <c r="N898" s="2"/>
      <c r="O898" s="2"/>
    </row>
    <row r="899" spans="12:15" ht="12" customHeight="1" x14ac:dyDescent="0.25">
      <c r="L899" s="2"/>
      <c r="M899" s="2"/>
      <c r="N899" s="2"/>
      <c r="O899" s="2"/>
    </row>
    <row r="900" spans="12:15" ht="12" customHeight="1" x14ac:dyDescent="0.25">
      <c r="L900" s="2"/>
      <c r="M900" s="2"/>
      <c r="N900" s="2"/>
      <c r="O900" s="2"/>
    </row>
    <row r="901" spans="12:15" ht="12" customHeight="1" x14ac:dyDescent="0.25">
      <c r="L901" s="2"/>
      <c r="M901" s="2"/>
      <c r="N901" s="2"/>
      <c r="O901" s="2"/>
    </row>
    <row r="902" spans="12:15" ht="12" customHeight="1" x14ac:dyDescent="0.25">
      <c r="L902" s="2"/>
      <c r="M902" s="2"/>
      <c r="N902" s="2"/>
      <c r="O902" s="2"/>
    </row>
    <row r="903" spans="12:15" ht="12" customHeight="1" x14ac:dyDescent="0.25">
      <c r="L903" s="2"/>
      <c r="M903" s="2"/>
      <c r="N903" s="2"/>
      <c r="O903" s="2"/>
    </row>
    <row r="904" spans="12:15" ht="12" customHeight="1" x14ac:dyDescent="0.25">
      <c r="L904" s="2"/>
      <c r="M904" s="2"/>
      <c r="N904" s="2"/>
      <c r="O904" s="2"/>
    </row>
    <row r="905" spans="12:15" ht="12" customHeight="1" x14ac:dyDescent="0.25">
      <c r="L905" s="2"/>
      <c r="M905" s="2"/>
      <c r="N905" s="2"/>
      <c r="O905" s="2"/>
    </row>
    <row r="906" spans="12:15" ht="12" customHeight="1" x14ac:dyDescent="0.25">
      <c r="L906" s="2"/>
      <c r="M906" s="2"/>
      <c r="N906" s="2"/>
      <c r="O906" s="2"/>
    </row>
    <row r="907" spans="12:15" ht="12" customHeight="1" x14ac:dyDescent="0.25">
      <c r="L907" s="2"/>
      <c r="M907" s="2"/>
      <c r="N907" s="2"/>
      <c r="O907" s="2"/>
    </row>
    <row r="908" spans="12:15" ht="12" customHeight="1" x14ac:dyDescent="0.25">
      <c r="L908" s="2"/>
      <c r="M908" s="2"/>
      <c r="N908" s="2"/>
      <c r="O908" s="2"/>
    </row>
    <row r="909" spans="12:15" ht="12" customHeight="1" x14ac:dyDescent="0.25">
      <c r="L909" s="2"/>
      <c r="M909" s="2"/>
      <c r="N909" s="2"/>
      <c r="O909" s="2"/>
    </row>
    <row r="910" spans="12:15" ht="12" customHeight="1" x14ac:dyDescent="0.25">
      <c r="L910" s="2"/>
      <c r="M910" s="2"/>
      <c r="N910" s="2"/>
      <c r="O910" s="2"/>
    </row>
    <row r="911" spans="12:15" ht="12" customHeight="1" x14ac:dyDescent="0.25">
      <c r="L911" s="2"/>
      <c r="M911" s="2"/>
      <c r="N911" s="2"/>
      <c r="O911" s="2"/>
    </row>
    <row r="912" spans="12:15" ht="12" customHeight="1" x14ac:dyDescent="0.25">
      <c r="L912" s="2"/>
      <c r="M912" s="2"/>
      <c r="N912" s="2"/>
      <c r="O912" s="2"/>
    </row>
    <row r="913" spans="12:15" ht="12" customHeight="1" x14ac:dyDescent="0.25">
      <c r="L913" s="2"/>
      <c r="M913" s="2"/>
      <c r="N913" s="2"/>
      <c r="O913" s="2"/>
    </row>
    <row r="914" spans="12:15" ht="12" customHeight="1" x14ac:dyDescent="0.25">
      <c r="L914" s="2"/>
      <c r="M914" s="2"/>
      <c r="N914" s="2"/>
      <c r="O914" s="2"/>
    </row>
    <row r="915" spans="12:15" ht="12" customHeight="1" x14ac:dyDescent="0.25">
      <c r="L915" s="2"/>
      <c r="M915" s="2"/>
      <c r="N915" s="2"/>
      <c r="O915" s="2"/>
    </row>
    <row r="916" spans="12:15" ht="12" customHeight="1" x14ac:dyDescent="0.25">
      <c r="L916" s="2"/>
      <c r="M916" s="2"/>
      <c r="N916" s="2"/>
      <c r="O916" s="2"/>
    </row>
    <row r="917" spans="12:15" ht="12" customHeight="1" x14ac:dyDescent="0.25">
      <c r="L917" s="2"/>
      <c r="M917" s="2"/>
      <c r="N917" s="2"/>
      <c r="O917" s="2"/>
    </row>
    <row r="918" spans="12:15" ht="12" customHeight="1" x14ac:dyDescent="0.25">
      <c r="L918" s="2"/>
      <c r="M918" s="2"/>
      <c r="N918" s="2"/>
      <c r="O918" s="2"/>
    </row>
    <row r="919" spans="12:15" ht="12" customHeight="1" x14ac:dyDescent="0.25">
      <c r="L919" s="2"/>
      <c r="M919" s="2"/>
      <c r="N919" s="2"/>
      <c r="O919" s="2"/>
    </row>
    <row r="920" spans="12:15" ht="12" customHeight="1" x14ac:dyDescent="0.25">
      <c r="L920" s="2"/>
      <c r="M920" s="2"/>
      <c r="N920" s="2"/>
      <c r="O920" s="2"/>
    </row>
    <row r="921" spans="12:15" ht="12" customHeight="1" x14ac:dyDescent="0.25">
      <c r="L921" s="2"/>
      <c r="M921" s="2"/>
      <c r="N921" s="2"/>
      <c r="O921" s="2"/>
    </row>
    <row r="922" spans="12:15" ht="12" customHeight="1" x14ac:dyDescent="0.25">
      <c r="L922" s="2"/>
      <c r="M922" s="2"/>
      <c r="N922" s="2"/>
      <c r="O922" s="2"/>
    </row>
    <row r="923" spans="12:15" ht="12" customHeight="1" x14ac:dyDescent="0.25">
      <c r="L923" s="2"/>
      <c r="M923" s="2"/>
      <c r="N923" s="2"/>
      <c r="O923" s="2"/>
    </row>
    <row r="924" spans="12:15" ht="12" customHeight="1" x14ac:dyDescent="0.25">
      <c r="L924" s="2"/>
      <c r="M924" s="2"/>
      <c r="N924" s="2"/>
      <c r="O924" s="2"/>
    </row>
    <row r="925" spans="12:15" ht="12" customHeight="1" x14ac:dyDescent="0.25">
      <c r="L925" s="2"/>
      <c r="M925" s="2"/>
      <c r="N925" s="2"/>
      <c r="O925" s="2"/>
    </row>
    <row r="926" spans="12:15" ht="12" customHeight="1" x14ac:dyDescent="0.25">
      <c r="L926" s="2"/>
      <c r="M926" s="2"/>
      <c r="N926" s="2"/>
      <c r="O926" s="2"/>
    </row>
    <row r="927" spans="12:15" ht="12" customHeight="1" x14ac:dyDescent="0.25">
      <c r="L927" s="2"/>
      <c r="M927" s="2"/>
      <c r="N927" s="2"/>
      <c r="O927" s="2"/>
    </row>
    <row r="928" spans="12:15" ht="12" customHeight="1" x14ac:dyDescent="0.25">
      <c r="L928" s="2"/>
      <c r="M928" s="2"/>
      <c r="N928" s="2"/>
      <c r="O928" s="2"/>
    </row>
    <row r="929" spans="12:15" ht="12" customHeight="1" x14ac:dyDescent="0.25">
      <c r="L929" s="2"/>
      <c r="M929" s="2"/>
      <c r="N929" s="2"/>
      <c r="O929" s="2"/>
    </row>
    <row r="930" spans="12:15" ht="12" customHeight="1" x14ac:dyDescent="0.25">
      <c r="L930" s="2"/>
      <c r="M930" s="2"/>
      <c r="N930" s="2"/>
      <c r="O930" s="2"/>
    </row>
    <row r="931" spans="12:15" ht="12" customHeight="1" x14ac:dyDescent="0.25">
      <c r="L931" s="2"/>
      <c r="M931" s="2"/>
      <c r="N931" s="2"/>
      <c r="O931" s="2"/>
    </row>
    <row r="932" spans="12:15" ht="12" customHeight="1" x14ac:dyDescent="0.25">
      <c r="L932" s="2"/>
      <c r="M932" s="2"/>
      <c r="N932" s="2"/>
      <c r="O932" s="2"/>
    </row>
    <row r="933" spans="12:15" ht="12" customHeight="1" x14ac:dyDescent="0.25">
      <c r="L933" s="2"/>
      <c r="M933" s="2"/>
      <c r="N933" s="2"/>
      <c r="O933" s="2"/>
    </row>
    <row r="934" spans="12:15" ht="12" customHeight="1" x14ac:dyDescent="0.25">
      <c r="L934" s="2"/>
      <c r="M934" s="2"/>
      <c r="N934" s="2"/>
      <c r="O934" s="2"/>
    </row>
    <row r="935" spans="12:15" ht="12" customHeight="1" x14ac:dyDescent="0.25">
      <c r="L935" s="2"/>
      <c r="M935" s="2"/>
      <c r="N935" s="2"/>
      <c r="O935" s="2"/>
    </row>
    <row r="936" spans="12:15" ht="12" customHeight="1" x14ac:dyDescent="0.25">
      <c r="L936" s="2"/>
      <c r="M936" s="2"/>
      <c r="N936" s="2"/>
      <c r="O936" s="2"/>
    </row>
    <row r="937" spans="12:15" ht="12" customHeight="1" x14ac:dyDescent="0.25">
      <c r="L937" s="2"/>
      <c r="M937" s="2"/>
      <c r="N937" s="2"/>
      <c r="O937" s="2"/>
    </row>
    <row r="938" spans="12:15" ht="12" customHeight="1" x14ac:dyDescent="0.25">
      <c r="L938" s="2"/>
      <c r="M938" s="2"/>
      <c r="N938" s="2"/>
      <c r="O938" s="2"/>
    </row>
    <row r="939" spans="12:15" ht="12" customHeight="1" x14ac:dyDescent="0.25">
      <c r="L939" s="2"/>
      <c r="M939" s="2"/>
      <c r="N939" s="2"/>
      <c r="O939" s="2"/>
    </row>
    <row r="940" spans="12:15" ht="12" customHeight="1" x14ac:dyDescent="0.25">
      <c r="L940" s="2"/>
      <c r="M940" s="2"/>
      <c r="N940" s="2"/>
      <c r="O940" s="2"/>
    </row>
    <row r="941" spans="12:15" ht="12" customHeight="1" x14ac:dyDescent="0.25">
      <c r="L941" s="2"/>
      <c r="M941" s="2"/>
      <c r="N941" s="2"/>
      <c r="O941" s="2"/>
    </row>
    <row r="942" spans="12:15" ht="12" customHeight="1" x14ac:dyDescent="0.25">
      <c r="L942" s="2"/>
      <c r="M942" s="2"/>
      <c r="N942" s="2"/>
      <c r="O942" s="2"/>
    </row>
    <row r="943" spans="12:15" ht="12" customHeight="1" x14ac:dyDescent="0.25">
      <c r="L943" s="2"/>
      <c r="M943" s="2"/>
      <c r="N943" s="2"/>
      <c r="O943" s="2"/>
    </row>
    <row r="944" spans="12:15" ht="12" customHeight="1" x14ac:dyDescent="0.25">
      <c r="L944" s="2"/>
      <c r="M944" s="2"/>
      <c r="N944" s="2"/>
      <c r="O944" s="2"/>
    </row>
    <row r="945" spans="12:15" ht="12" customHeight="1" x14ac:dyDescent="0.25">
      <c r="L945" s="2"/>
      <c r="M945" s="2"/>
      <c r="N945" s="2"/>
      <c r="O945" s="2"/>
    </row>
    <row r="946" spans="12:15" ht="12" customHeight="1" x14ac:dyDescent="0.25">
      <c r="L946" s="2"/>
      <c r="M946" s="2"/>
      <c r="N946" s="2"/>
      <c r="O946" s="2"/>
    </row>
    <row r="947" spans="12:15" ht="12" customHeight="1" x14ac:dyDescent="0.25">
      <c r="L947" s="2"/>
      <c r="M947" s="2"/>
      <c r="N947" s="2"/>
      <c r="O947" s="2"/>
    </row>
    <row r="948" spans="12:15" ht="12" customHeight="1" x14ac:dyDescent="0.25">
      <c r="L948" s="2"/>
      <c r="M948" s="2"/>
      <c r="N948" s="2"/>
      <c r="O948" s="2"/>
    </row>
    <row r="949" spans="12:15" ht="12" customHeight="1" x14ac:dyDescent="0.25">
      <c r="L949" s="2"/>
      <c r="M949" s="2"/>
      <c r="N949" s="2"/>
      <c r="O949" s="2"/>
    </row>
    <row r="950" spans="12:15" ht="12" customHeight="1" x14ac:dyDescent="0.25">
      <c r="L950" s="2"/>
      <c r="M950" s="2"/>
      <c r="N950" s="2"/>
      <c r="O950" s="2"/>
    </row>
    <row r="951" spans="12:15" ht="12" customHeight="1" x14ac:dyDescent="0.25">
      <c r="L951" s="2"/>
      <c r="M951" s="2"/>
      <c r="N951" s="2"/>
      <c r="O951" s="2"/>
    </row>
    <row r="952" spans="12:15" ht="12" customHeight="1" x14ac:dyDescent="0.25">
      <c r="L952" s="2"/>
      <c r="M952" s="2"/>
      <c r="N952" s="2"/>
      <c r="O952" s="2"/>
    </row>
    <row r="953" spans="12:15" ht="12" customHeight="1" x14ac:dyDescent="0.25">
      <c r="L953" s="2"/>
      <c r="M953" s="2"/>
      <c r="N953" s="2"/>
      <c r="O953" s="2"/>
    </row>
    <row r="954" spans="12:15" ht="12" customHeight="1" x14ac:dyDescent="0.25">
      <c r="L954" s="2"/>
      <c r="M954" s="2"/>
      <c r="N954" s="2"/>
      <c r="O954" s="2"/>
    </row>
    <row r="955" spans="12:15" ht="12" customHeight="1" x14ac:dyDescent="0.25">
      <c r="L955" s="2"/>
      <c r="M955" s="2"/>
      <c r="N955" s="2"/>
      <c r="O955" s="2"/>
    </row>
    <row r="956" spans="12:15" ht="12" customHeight="1" x14ac:dyDescent="0.25">
      <c r="L956" s="2"/>
      <c r="M956" s="2"/>
      <c r="N956" s="2"/>
      <c r="O956" s="2"/>
    </row>
    <row r="957" spans="12:15" ht="12" customHeight="1" x14ac:dyDescent="0.25">
      <c r="L957" s="2"/>
      <c r="M957" s="2"/>
      <c r="N957" s="2"/>
      <c r="O957" s="2"/>
    </row>
    <row r="958" spans="12:15" ht="12" customHeight="1" x14ac:dyDescent="0.25">
      <c r="L958" s="2"/>
      <c r="M958" s="2"/>
      <c r="N958" s="2"/>
      <c r="O958" s="2"/>
    </row>
    <row r="959" spans="12:15" ht="12" customHeight="1" x14ac:dyDescent="0.25">
      <c r="L959" s="2"/>
      <c r="M959" s="2"/>
      <c r="N959" s="2"/>
      <c r="O959" s="2"/>
    </row>
    <row r="960" spans="12:15" ht="12" customHeight="1" x14ac:dyDescent="0.25">
      <c r="L960" s="2"/>
      <c r="M960" s="2"/>
      <c r="N960" s="2"/>
      <c r="O960" s="2"/>
    </row>
    <row r="961" spans="12:15" ht="12" customHeight="1" x14ac:dyDescent="0.25">
      <c r="L961" s="2"/>
      <c r="M961" s="2"/>
      <c r="N961" s="2"/>
      <c r="O961" s="2"/>
    </row>
    <row r="962" spans="12:15" ht="12" customHeight="1" x14ac:dyDescent="0.25">
      <c r="L962" s="2"/>
      <c r="M962" s="2"/>
      <c r="N962" s="2"/>
      <c r="O962" s="2"/>
    </row>
    <row r="963" spans="12:15" ht="12" customHeight="1" x14ac:dyDescent="0.25">
      <c r="L963" s="2"/>
      <c r="M963" s="2"/>
      <c r="N963" s="2"/>
      <c r="O963" s="2"/>
    </row>
    <row r="964" spans="12:15" ht="12" customHeight="1" x14ac:dyDescent="0.25">
      <c r="L964" s="2"/>
      <c r="M964" s="2"/>
      <c r="N964" s="2"/>
      <c r="O964" s="2"/>
    </row>
    <row r="965" spans="12:15" ht="12" customHeight="1" x14ac:dyDescent="0.25">
      <c r="L965" s="2"/>
      <c r="M965" s="2"/>
      <c r="N965" s="2"/>
      <c r="O965" s="2"/>
    </row>
    <row r="966" spans="12:15" ht="12" customHeight="1" x14ac:dyDescent="0.25">
      <c r="L966" s="2"/>
      <c r="M966" s="2"/>
      <c r="N966" s="2"/>
      <c r="O966" s="2"/>
    </row>
    <row r="967" spans="12:15" ht="12" customHeight="1" x14ac:dyDescent="0.25">
      <c r="L967" s="2"/>
      <c r="M967" s="2"/>
      <c r="N967" s="2"/>
      <c r="O967" s="2"/>
    </row>
    <row r="968" spans="12:15" ht="12" customHeight="1" x14ac:dyDescent="0.25">
      <c r="L968" s="2"/>
      <c r="M968" s="2"/>
      <c r="N968" s="2"/>
      <c r="O968" s="2"/>
    </row>
    <row r="969" spans="12:15" ht="12" customHeight="1" x14ac:dyDescent="0.25">
      <c r="L969" s="2"/>
      <c r="M969" s="2"/>
      <c r="N969" s="2"/>
      <c r="O969" s="2"/>
    </row>
    <row r="970" spans="12:15" ht="12" customHeight="1" x14ac:dyDescent="0.25">
      <c r="L970" s="2"/>
      <c r="M970" s="2"/>
      <c r="N970" s="2"/>
      <c r="O970" s="2"/>
    </row>
    <row r="971" spans="12:15" ht="12" customHeight="1" x14ac:dyDescent="0.25">
      <c r="L971" s="2"/>
      <c r="M971" s="2"/>
      <c r="N971" s="2"/>
      <c r="O971" s="2"/>
    </row>
    <row r="972" spans="12:15" ht="12" customHeight="1" x14ac:dyDescent="0.25">
      <c r="L972" s="2"/>
      <c r="M972" s="2"/>
      <c r="N972" s="2"/>
      <c r="O972" s="2"/>
    </row>
    <row r="973" spans="12:15" ht="12" customHeight="1" x14ac:dyDescent="0.25">
      <c r="L973" s="2"/>
      <c r="M973" s="2"/>
      <c r="N973" s="2"/>
      <c r="O973" s="2"/>
    </row>
    <row r="974" spans="12:15" ht="12" customHeight="1" x14ac:dyDescent="0.25">
      <c r="L974" s="2"/>
      <c r="M974" s="2"/>
      <c r="N974" s="2"/>
      <c r="O974" s="2"/>
    </row>
    <row r="975" spans="12:15" ht="12" customHeight="1" x14ac:dyDescent="0.25">
      <c r="L975" s="2"/>
      <c r="M975" s="2"/>
      <c r="N975" s="2"/>
      <c r="O975" s="2"/>
    </row>
    <row r="976" spans="12:15" ht="12" customHeight="1" x14ac:dyDescent="0.25">
      <c r="L976" s="2"/>
      <c r="M976" s="2"/>
      <c r="N976" s="2"/>
      <c r="O976" s="2"/>
    </row>
    <row r="977" spans="12:15" ht="12" customHeight="1" x14ac:dyDescent="0.25">
      <c r="L977" s="2"/>
      <c r="M977" s="2"/>
      <c r="N977" s="2"/>
      <c r="O977" s="2"/>
    </row>
    <row r="978" spans="12:15" ht="12" customHeight="1" x14ac:dyDescent="0.25">
      <c r="L978" s="2"/>
      <c r="M978" s="2"/>
      <c r="N978" s="2"/>
      <c r="O978" s="2"/>
    </row>
    <row r="979" spans="12:15" ht="12" customHeight="1" x14ac:dyDescent="0.25">
      <c r="L979" s="2"/>
      <c r="M979" s="2"/>
      <c r="N979" s="2"/>
      <c r="O979" s="2"/>
    </row>
    <row r="980" spans="12:15" ht="12" customHeight="1" x14ac:dyDescent="0.25">
      <c r="L980" s="2"/>
      <c r="M980" s="2"/>
      <c r="N980" s="2"/>
      <c r="O980" s="2"/>
    </row>
    <row r="981" spans="12:15" ht="12" customHeight="1" x14ac:dyDescent="0.25">
      <c r="L981" s="2"/>
      <c r="M981" s="2"/>
      <c r="N981" s="2"/>
      <c r="O981" s="2"/>
    </row>
    <row r="982" spans="12:15" ht="12" customHeight="1" x14ac:dyDescent="0.25">
      <c r="L982" s="2"/>
      <c r="M982" s="2"/>
      <c r="N982" s="2"/>
      <c r="O982" s="2"/>
    </row>
    <row r="983" spans="12:15" ht="12" customHeight="1" x14ac:dyDescent="0.25">
      <c r="L983" s="2"/>
      <c r="M983" s="2"/>
      <c r="N983" s="2"/>
      <c r="O983" s="2"/>
    </row>
    <row r="984" spans="12:15" ht="12" customHeight="1" x14ac:dyDescent="0.25">
      <c r="L984" s="2"/>
      <c r="M984" s="2"/>
      <c r="N984" s="2"/>
      <c r="O984" s="2"/>
    </row>
    <row r="985" spans="12:15" ht="12" customHeight="1" x14ac:dyDescent="0.25">
      <c r="L985" s="2"/>
      <c r="M985" s="2"/>
      <c r="N985" s="2"/>
      <c r="O985" s="2"/>
    </row>
    <row r="986" spans="12:15" ht="12" customHeight="1" x14ac:dyDescent="0.25">
      <c r="L986" s="2"/>
      <c r="M986" s="2"/>
      <c r="N986" s="2"/>
      <c r="O986" s="2"/>
    </row>
    <row r="987" spans="12:15" ht="12" customHeight="1" x14ac:dyDescent="0.25">
      <c r="L987" s="2"/>
      <c r="M987" s="2"/>
      <c r="N987" s="2"/>
      <c r="O987" s="2"/>
    </row>
    <row r="988" spans="12:15" ht="12" customHeight="1" x14ac:dyDescent="0.25">
      <c r="L988" s="2"/>
      <c r="M988" s="2"/>
      <c r="N988" s="2"/>
      <c r="O988" s="2"/>
    </row>
    <row r="989" spans="12:15" ht="12" customHeight="1" x14ac:dyDescent="0.25">
      <c r="L989" s="2"/>
      <c r="M989" s="2"/>
      <c r="N989" s="2"/>
      <c r="O989" s="2"/>
    </row>
    <row r="990" spans="12:15" ht="12" customHeight="1" x14ac:dyDescent="0.25">
      <c r="L990" s="2"/>
      <c r="M990" s="2"/>
      <c r="N990" s="2"/>
      <c r="O990" s="2"/>
    </row>
    <row r="991" spans="12:15" ht="12" customHeight="1" x14ac:dyDescent="0.25">
      <c r="L991" s="2"/>
      <c r="M991" s="2"/>
      <c r="N991" s="2"/>
      <c r="O991" s="2"/>
    </row>
    <row r="992" spans="12:15" ht="12" customHeight="1" x14ac:dyDescent="0.25">
      <c r="L992" s="2"/>
      <c r="M992" s="2"/>
      <c r="N992" s="2"/>
      <c r="O992" s="2"/>
    </row>
    <row r="993" spans="12:15" ht="12" customHeight="1" x14ac:dyDescent="0.25">
      <c r="L993" s="2"/>
      <c r="M993" s="2"/>
      <c r="N993" s="2"/>
      <c r="O993" s="2"/>
    </row>
    <row r="994" spans="12:15" ht="12" customHeight="1" x14ac:dyDescent="0.25">
      <c r="L994" s="2"/>
      <c r="M994" s="2"/>
      <c r="N994" s="2"/>
      <c r="O994" s="2"/>
    </row>
    <row r="995" spans="12:15" ht="12" customHeight="1" x14ac:dyDescent="0.25">
      <c r="L995" s="2"/>
      <c r="M995" s="2"/>
      <c r="N995" s="2"/>
      <c r="O995" s="2"/>
    </row>
    <row r="996" spans="12:15" ht="12" customHeight="1" x14ac:dyDescent="0.25">
      <c r="L996" s="2"/>
      <c r="M996" s="2"/>
      <c r="N996" s="2"/>
      <c r="O996" s="2"/>
    </row>
    <row r="997" spans="12:15" ht="12" customHeight="1" x14ac:dyDescent="0.25">
      <c r="L997" s="2"/>
      <c r="M997" s="2"/>
      <c r="N997" s="2"/>
      <c r="O997" s="2"/>
    </row>
    <row r="998" spans="12:15" ht="12" customHeight="1" x14ac:dyDescent="0.25">
      <c r="L998" s="2"/>
      <c r="M998" s="2"/>
      <c r="N998" s="2"/>
      <c r="O998" s="2"/>
    </row>
    <row r="999" spans="12:15" ht="12" customHeight="1" x14ac:dyDescent="0.25">
      <c r="L999" s="2"/>
      <c r="M999" s="2"/>
      <c r="N999" s="2"/>
      <c r="O999" s="2"/>
    </row>
    <row r="1000" spans="12:15" ht="12" customHeight="1" x14ac:dyDescent="0.25">
      <c r="L1000" s="2"/>
      <c r="M1000" s="2"/>
      <c r="N1000" s="2"/>
      <c r="O1000" s="2"/>
    </row>
  </sheetData>
  <mergeCells count="93">
    <mergeCell ref="J15:J16"/>
    <mergeCell ref="J17:J24"/>
    <mergeCell ref="J25:J28"/>
    <mergeCell ref="J29:J32"/>
    <mergeCell ref="J33:J42"/>
    <mergeCell ref="F35:F36"/>
    <mergeCell ref="G35:G36"/>
    <mergeCell ref="H35:H36"/>
    <mergeCell ref="I35:I36"/>
    <mergeCell ref="G37:G39"/>
    <mergeCell ref="H37:H39"/>
    <mergeCell ref="I37:I39"/>
    <mergeCell ref="F37:F39"/>
    <mergeCell ref="F40:F42"/>
    <mergeCell ref="G40:G42"/>
    <mergeCell ref="H40:H42"/>
    <mergeCell ref="I40:I42"/>
    <mergeCell ref="F43:F47"/>
    <mergeCell ref="G43:G47"/>
    <mergeCell ref="H43:H47"/>
    <mergeCell ref="I43:I47"/>
    <mergeCell ref="F48:F51"/>
    <mergeCell ref="G48:G51"/>
    <mergeCell ref="H48:H51"/>
    <mergeCell ref="I48:I51"/>
    <mergeCell ref="G53:G57"/>
    <mergeCell ref="H53:H57"/>
    <mergeCell ref="I53:I57"/>
    <mergeCell ref="F66:F72"/>
    <mergeCell ref="F73:F75"/>
    <mergeCell ref="F76:F78"/>
    <mergeCell ref="F53:F57"/>
    <mergeCell ref="F58:F63"/>
    <mergeCell ref="G58:G63"/>
    <mergeCell ref="H58:H63"/>
    <mergeCell ref="I58:I63"/>
    <mergeCell ref="I64:I65"/>
    <mergeCell ref="I66:I72"/>
    <mergeCell ref="I76:I78"/>
    <mergeCell ref="I79:I80"/>
    <mergeCell ref="L76:O78"/>
    <mergeCell ref="G66:G72"/>
    <mergeCell ref="H66:H72"/>
    <mergeCell ref="G73:G75"/>
    <mergeCell ref="H73:H75"/>
    <mergeCell ref="I73:I75"/>
    <mergeCell ref="G76:G78"/>
    <mergeCell ref="H76:H78"/>
    <mergeCell ref="H15:H16"/>
    <mergeCell ref="I15:I16"/>
    <mergeCell ref="H17:H18"/>
    <mergeCell ref="I17:I18"/>
    <mergeCell ref="F10:F12"/>
    <mergeCell ref="F13:F14"/>
    <mergeCell ref="G13:G14"/>
    <mergeCell ref="H13:H14"/>
    <mergeCell ref="I13:I14"/>
    <mergeCell ref="F15:F16"/>
    <mergeCell ref="G15:G16"/>
    <mergeCell ref="A1:J1"/>
    <mergeCell ref="F4:H4"/>
    <mergeCell ref="F5:H5"/>
    <mergeCell ref="I8:I9"/>
    <mergeCell ref="G10:G12"/>
    <mergeCell ref="H10:H12"/>
    <mergeCell ref="I10:I12"/>
    <mergeCell ref="J8:J14"/>
    <mergeCell ref="H29:H32"/>
    <mergeCell ref="I29:I32"/>
    <mergeCell ref="I33:I34"/>
    <mergeCell ref="F22:F24"/>
    <mergeCell ref="F25:F28"/>
    <mergeCell ref="G25:G28"/>
    <mergeCell ref="H25:H28"/>
    <mergeCell ref="I25:I28"/>
    <mergeCell ref="F29:F32"/>
    <mergeCell ref="G29:G32"/>
    <mergeCell ref="L10:N14"/>
    <mergeCell ref="L15:N16"/>
    <mergeCell ref="L73:O75"/>
    <mergeCell ref="L48:O51"/>
    <mergeCell ref="F19:F21"/>
    <mergeCell ref="G19:G21"/>
    <mergeCell ref="H19:H21"/>
    <mergeCell ref="I19:I21"/>
    <mergeCell ref="G22:G24"/>
    <mergeCell ref="H22:H24"/>
    <mergeCell ref="I22:I24"/>
    <mergeCell ref="L19:O24"/>
    <mergeCell ref="L25:O28"/>
    <mergeCell ref="L29:O32"/>
    <mergeCell ref="L35:O36"/>
    <mergeCell ref="L37:O39"/>
  </mergeCells>
  <pageMargins left="0.75" right="0.75" top="1" bottom="1" header="0" footer="0"/>
  <pageSetup paperSize="9" scale="9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heetViews>
  <sheetFormatPr defaultColWidth="12.6328125" defaultRowHeight="15" customHeight="1" x14ac:dyDescent="0.25"/>
  <cols>
    <col min="1" max="4" width="8.6328125" customWidth="1"/>
    <col min="5" max="5" width="12.08984375" customWidth="1"/>
    <col min="6" max="26" width="8.6328125" customWidth="1"/>
  </cols>
  <sheetData>
    <row r="1" spans="1:5" ht="12" customHeight="1" x14ac:dyDescent="0.25">
      <c r="A1" s="5" t="s">
        <v>61</v>
      </c>
      <c r="B1" s="5"/>
      <c r="C1" s="5"/>
      <c r="D1" s="5"/>
      <c r="E1" s="6"/>
    </row>
    <row r="2" spans="1:5" ht="12" customHeight="1" x14ac:dyDescent="0.25">
      <c r="A2" s="9" t="s">
        <v>110</v>
      </c>
      <c r="E2" s="10"/>
    </row>
    <row r="3" spans="1:5" ht="12" customHeight="1" x14ac:dyDescent="0.25">
      <c r="A3" s="9" t="s">
        <v>63</v>
      </c>
      <c r="E3" s="10"/>
    </row>
    <row r="4" spans="1:5" ht="12" customHeight="1" x14ac:dyDescent="0.25">
      <c r="A4" s="9" t="s">
        <v>64</v>
      </c>
      <c r="E4" s="10"/>
    </row>
    <row r="5" spans="1:5" ht="12" customHeight="1" x14ac:dyDescent="0.25">
      <c r="A5" s="9" t="s">
        <v>65</v>
      </c>
      <c r="E5" s="10"/>
    </row>
    <row r="6" spans="1:5" ht="12" customHeight="1" x14ac:dyDescent="0.25">
      <c r="A6" s="5" t="s">
        <v>66</v>
      </c>
      <c r="B6" s="5"/>
      <c r="C6" s="5"/>
      <c r="D6" s="5"/>
      <c r="E6" s="6"/>
    </row>
    <row r="7" spans="1:5" ht="12" customHeight="1" x14ac:dyDescent="0.25">
      <c r="A7" s="9" t="s">
        <v>68</v>
      </c>
      <c r="E7" s="10"/>
    </row>
    <row r="8" spans="1:5" ht="12" customHeight="1" x14ac:dyDescent="0.25">
      <c r="A8" s="9" t="s">
        <v>69</v>
      </c>
      <c r="E8" s="10"/>
    </row>
    <row r="9" spans="1:5" ht="12" customHeight="1" x14ac:dyDescent="0.25">
      <c r="A9" s="9" t="s">
        <v>70</v>
      </c>
      <c r="E9" s="10"/>
    </row>
    <row r="10" spans="1:5" ht="12" customHeight="1" x14ac:dyDescent="0.25">
      <c r="A10" s="5" t="s">
        <v>71</v>
      </c>
      <c r="B10" s="5"/>
      <c r="C10" s="5"/>
      <c r="D10" s="5"/>
      <c r="E10" s="6"/>
    </row>
    <row r="11" spans="1:5" ht="12" customHeight="1" x14ac:dyDescent="0.25">
      <c r="A11" s="5" t="s">
        <v>72</v>
      </c>
      <c r="B11" s="5"/>
      <c r="C11" s="5"/>
      <c r="D11" s="5"/>
      <c r="E11" s="6"/>
    </row>
    <row r="12" spans="1:5" ht="12" customHeight="1" x14ac:dyDescent="0.25">
      <c r="A12" s="9" t="s">
        <v>73</v>
      </c>
      <c r="E12" s="10"/>
    </row>
    <row r="13" spans="1:5" ht="12" customHeight="1" x14ac:dyDescent="0.25">
      <c r="A13" s="9" t="s">
        <v>74</v>
      </c>
      <c r="E13" s="10"/>
    </row>
    <row r="14" spans="1:5" ht="12" customHeight="1" x14ac:dyDescent="0.25">
      <c r="A14" s="9" t="s">
        <v>75</v>
      </c>
      <c r="E14" s="10"/>
    </row>
    <row r="15" spans="1:5" ht="12" customHeight="1" x14ac:dyDescent="0.25">
      <c r="A15" s="9" t="s">
        <v>76</v>
      </c>
      <c r="E15" s="10"/>
    </row>
    <row r="16" spans="1:5" ht="12" customHeight="1" x14ac:dyDescent="0.25">
      <c r="A16" s="5" t="s">
        <v>77</v>
      </c>
      <c r="B16" s="5"/>
      <c r="C16" s="5"/>
      <c r="D16" s="5"/>
      <c r="E16" s="6"/>
    </row>
    <row r="17" spans="1:5" ht="12" customHeight="1" x14ac:dyDescent="0.25">
      <c r="A17" s="9" t="s">
        <v>78</v>
      </c>
      <c r="E17" s="10"/>
    </row>
    <row r="18" spans="1:5" ht="12" customHeight="1" x14ac:dyDescent="0.25">
      <c r="A18" s="9" t="s">
        <v>79</v>
      </c>
      <c r="E18" s="10"/>
    </row>
    <row r="19" spans="1:5" ht="12" customHeight="1" x14ac:dyDescent="0.25">
      <c r="A19" s="9" t="s">
        <v>80</v>
      </c>
      <c r="E19" s="10"/>
    </row>
    <row r="20" spans="1:5" ht="12" customHeight="1" x14ac:dyDescent="0.25">
      <c r="A20" s="9" t="s">
        <v>81</v>
      </c>
      <c r="E20" s="10"/>
    </row>
    <row r="21" spans="1:5" ht="12" customHeight="1" x14ac:dyDescent="0.25">
      <c r="A21" s="9" t="s">
        <v>82</v>
      </c>
      <c r="E21" s="10"/>
    </row>
    <row r="22" spans="1:5" ht="12" customHeight="1" x14ac:dyDescent="0.25">
      <c r="A22" s="5" t="s">
        <v>77</v>
      </c>
      <c r="B22" s="5"/>
      <c r="C22" s="5"/>
      <c r="D22" s="5"/>
      <c r="E22" s="6"/>
    </row>
    <row r="23" spans="1:5" ht="12" customHeight="1" x14ac:dyDescent="0.25">
      <c r="A23" s="9" t="s">
        <v>78</v>
      </c>
    </row>
    <row r="24" spans="1:5" ht="12" customHeight="1" x14ac:dyDescent="0.25">
      <c r="A24" s="9" t="s">
        <v>79</v>
      </c>
    </row>
    <row r="25" spans="1:5" ht="12" customHeight="1" x14ac:dyDescent="0.25">
      <c r="A25" s="9" t="s">
        <v>80</v>
      </c>
    </row>
    <row r="26" spans="1:5" ht="12" customHeight="1" x14ac:dyDescent="0.25">
      <c r="A26" s="9" t="s">
        <v>81</v>
      </c>
    </row>
    <row r="27" spans="1:5" ht="12" customHeight="1" x14ac:dyDescent="0.25">
      <c r="A27" s="9" t="s">
        <v>82</v>
      </c>
    </row>
    <row r="28" spans="1:5" ht="12" customHeight="1" x14ac:dyDescent="0.25">
      <c r="A28" s="5"/>
      <c r="B28" s="5"/>
      <c r="C28" s="5"/>
      <c r="D28" s="5"/>
      <c r="E28" s="5"/>
    </row>
    <row r="29" spans="1:5" ht="12" customHeight="1" x14ac:dyDescent="0.25"/>
    <row r="30" spans="1:5" ht="12" customHeight="1" x14ac:dyDescent="0.25"/>
    <row r="31" spans="1:5" ht="12" customHeight="1" x14ac:dyDescent="0.25"/>
    <row r="32" spans="1:5"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00"/>
  <sheetViews>
    <sheetView workbookViewId="0"/>
  </sheetViews>
  <sheetFormatPr defaultColWidth="12.6328125" defaultRowHeight="15" customHeight="1" x14ac:dyDescent="0.25"/>
  <cols>
    <col min="1" max="26" width="8.6328125" customWidth="1"/>
  </cols>
  <sheetData>
    <row r="1" ht="12" customHeight="1" x14ac:dyDescent="0.25"/>
    <row r="2" ht="12" customHeight="1" x14ac:dyDescent="0.25"/>
    <row r="3" ht="12" customHeight="1" x14ac:dyDescent="0.25"/>
    <row r="4" ht="12" customHeight="1" x14ac:dyDescent="0.25"/>
    <row r="5" ht="12" customHeight="1" x14ac:dyDescent="0.25"/>
    <row r="6" ht="12" customHeight="1" x14ac:dyDescent="0.25"/>
    <row r="7" ht="12" customHeight="1" x14ac:dyDescent="0.25"/>
    <row r="8" ht="12" customHeight="1" x14ac:dyDescent="0.25"/>
    <row r="9" ht="12" customHeight="1" x14ac:dyDescent="0.25"/>
    <row r="10" ht="12" customHeight="1" x14ac:dyDescent="0.25"/>
    <row r="11" ht="12" customHeight="1" x14ac:dyDescent="0.25"/>
    <row r="12" ht="12" customHeight="1" x14ac:dyDescent="0.25"/>
    <row r="13" ht="12" customHeight="1" x14ac:dyDescent="0.25"/>
    <row r="14" ht="12" customHeight="1" x14ac:dyDescent="0.25"/>
    <row r="15" ht="12" customHeight="1" x14ac:dyDescent="0.25"/>
    <row r="16" ht="12" customHeight="1" x14ac:dyDescent="0.25"/>
    <row r="17" ht="12" customHeight="1" x14ac:dyDescent="0.25"/>
    <row r="18" ht="12" customHeight="1" x14ac:dyDescent="0.25"/>
    <row r="19" ht="12" customHeight="1" x14ac:dyDescent="0.25"/>
    <row r="20" ht="12" customHeight="1" x14ac:dyDescent="0.25"/>
    <row r="21" ht="12" customHeight="1" x14ac:dyDescent="0.25"/>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row r="31" ht="12" customHeight="1" x14ac:dyDescent="0.25"/>
    <row r="32"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itojt</dc:creator>
  <cp:lastModifiedBy>Prince Nayga</cp:lastModifiedBy>
  <dcterms:created xsi:type="dcterms:W3CDTF">2013-09-06T08:17:52Z</dcterms:created>
  <dcterms:modified xsi:type="dcterms:W3CDTF">2025-12-12T02:25:02Z</dcterms:modified>
</cp:coreProperties>
</file>